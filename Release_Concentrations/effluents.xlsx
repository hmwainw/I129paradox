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harukowainwright/Documents/Projects/kay/kwhit_research 2/"/>
    </mc:Choice>
  </mc:AlternateContent>
  <xr:revisionPtr revIDLastSave="0" documentId="13_ncr:1_{BE4A31CA-D7B0-F640-B42C-2469F4721969}" xr6:coauthVersionLast="47" xr6:coauthVersionMax="47" xr10:uidLastSave="{00000000-0000-0000-0000-000000000000}"/>
  <bookViews>
    <workbookView xWindow="0" yWindow="760" windowWidth="38060" windowHeight="17160" xr2:uid="{00000000-000D-0000-FFFF-FFFF00000000}"/>
  </bookViews>
  <sheets>
    <sheet name="effluents" sheetId="7" r:id="rId1"/>
    <sheet name="database_pCi" sheetId="9" r:id="rId2"/>
  </sheets>
  <definedNames>
    <definedName name="_xlchart.v1.0" hidden="1">effluents!$B$18:$L$18</definedName>
    <definedName name="_xlchart.v1.1" hidden="1">effluents!$B$19:$L$19</definedName>
    <definedName name="_xlchart.v1.2" hidden="1">effluents!$B$20:$L$20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9" l="1"/>
  <c r="AF24" i="9"/>
  <c r="AE24" i="9"/>
  <c r="AD24" i="9"/>
  <c r="AE14" i="9"/>
  <c r="AH14" i="9"/>
  <c r="AI14" i="9"/>
  <c r="AJ14" i="9"/>
  <c r="AH15" i="9"/>
  <c r="AI15" i="9"/>
  <c r="AJ15" i="9"/>
  <c r="AH16" i="9"/>
  <c r="AI16" i="9"/>
  <c r="AJ16" i="9"/>
  <c r="AH17" i="9"/>
  <c r="AI17" i="9"/>
  <c r="AJ17" i="9"/>
  <c r="AH18" i="9"/>
  <c r="AI18" i="9"/>
  <c r="AJ18" i="9"/>
  <c r="AH19" i="9"/>
  <c r="AI19" i="9"/>
  <c r="AJ19" i="9"/>
  <c r="AH20" i="9"/>
  <c r="AI20" i="9"/>
  <c r="AJ20" i="9"/>
  <c r="AH21" i="9"/>
  <c r="AI21" i="9"/>
  <c r="AJ21" i="9"/>
  <c r="AI13" i="9"/>
  <c r="AJ13" i="9"/>
  <c r="AH13" i="9"/>
  <c r="AD14" i="9"/>
  <c r="AF14" i="9"/>
  <c r="AD15" i="9"/>
  <c r="AE15" i="9"/>
  <c r="AF15" i="9"/>
  <c r="AD16" i="9"/>
  <c r="AE16" i="9"/>
  <c r="AF16" i="9"/>
  <c r="AD17" i="9"/>
  <c r="AE17" i="9"/>
  <c r="AF17" i="9"/>
  <c r="AD18" i="9"/>
  <c r="AE18" i="9"/>
  <c r="AF18" i="9"/>
  <c r="AD19" i="9"/>
  <c r="AE19" i="9"/>
  <c r="AF19" i="9"/>
  <c r="AD20" i="9"/>
  <c r="AE20" i="9"/>
  <c r="AF20" i="9"/>
  <c r="AD21" i="9"/>
  <c r="AE21" i="9"/>
  <c r="AF21" i="9"/>
  <c r="AE13" i="9"/>
  <c r="AF13" i="9"/>
  <c r="AD13" i="9"/>
  <c r="X13" i="9"/>
  <c r="X14" i="9"/>
  <c r="X15" i="9"/>
  <c r="X16" i="9"/>
  <c r="X17" i="9"/>
  <c r="X18" i="9"/>
  <c r="X19" i="9"/>
  <c r="X20" i="9"/>
  <c r="X21" i="9"/>
  <c r="X22" i="9"/>
  <c r="W14" i="9"/>
  <c r="W15" i="9"/>
  <c r="W16" i="9"/>
  <c r="W17" i="9"/>
  <c r="W18" i="9"/>
  <c r="W19" i="9"/>
  <c r="W20" i="9"/>
  <c r="W21" i="9"/>
  <c r="W22" i="9"/>
  <c r="W13" i="9"/>
  <c r="W11" i="9"/>
  <c r="AO9" i="7" l="1"/>
  <c r="AO10" i="7"/>
  <c r="AO39" i="7"/>
  <c r="AO40" i="7"/>
  <c r="AO41" i="7"/>
  <c r="AO32" i="7"/>
  <c r="AO33" i="7"/>
  <c r="AO31" i="7"/>
  <c r="AO30" i="7"/>
  <c r="AO17" i="7"/>
  <c r="AO38" i="7" s="1"/>
  <c r="N6" i="7"/>
  <c r="N5" i="7"/>
  <c r="M5" i="7"/>
  <c r="R43" i="9"/>
  <c r="R38" i="9"/>
  <c r="R29" i="9"/>
  <c r="AO18" i="7" s="1"/>
  <c r="R41" i="9"/>
  <c r="R36" i="9"/>
  <c r="R27" i="9"/>
  <c r="R33" i="9"/>
  <c r="R31" i="9"/>
  <c r="E19" i="7"/>
  <c r="F19" i="7"/>
  <c r="G19" i="7"/>
  <c r="H19" i="7"/>
  <c r="I19" i="7"/>
  <c r="J19" i="7"/>
  <c r="K19" i="7"/>
  <c r="L19" i="7"/>
  <c r="B20" i="7"/>
  <c r="C20" i="7"/>
  <c r="D20" i="7"/>
  <c r="E20" i="7"/>
  <c r="F20" i="7"/>
  <c r="G20" i="7"/>
  <c r="H20" i="7"/>
  <c r="I20" i="7"/>
  <c r="J20" i="7"/>
  <c r="K20" i="7"/>
  <c r="AO21" i="7"/>
  <c r="AO42" i="7" s="1"/>
  <c r="U19" i="9"/>
  <c r="T19" i="9"/>
  <c r="S19" i="9"/>
  <c r="U18" i="9"/>
  <c r="T18" i="9"/>
  <c r="S18" i="9"/>
  <c r="U17" i="9"/>
  <c r="T17" i="9"/>
  <c r="S17" i="9"/>
  <c r="U16" i="9"/>
  <c r="T16" i="9"/>
  <c r="S16" i="9"/>
  <c r="U15" i="9"/>
  <c r="T15" i="9"/>
  <c r="S15" i="9"/>
  <c r="U14" i="9"/>
  <c r="T14" i="9"/>
  <c r="S14" i="9"/>
  <c r="U13" i="9"/>
  <c r="T13" i="9"/>
  <c r="S13" i="9"/>
  <c r="U12" i="7"/>
  <c r="M22" i="7" s="1"/>
  <c r="N22" i="7" s="1"/>
  <c r="N21" i="7"/>
  <c r="N14" i="7"/>
  <c r="E36" i="7"/>
  <c r="E38" i="7" s="1"/>
  <c r="C36" i="7"/>
  <c r="C38" i="7" s="1"/>
  <c r="E43" i="7" s="1"/>
  <c r="Q39" i="7"/>
  <c r="Q45" i="7" s="1"/>
  <c r="O38" i="7"/>
  <c r="N38" i="7"/>
  <c r="P38" i="7"/>
  <c r="M38" i="7"/>
  <c r="K13" i="7"/>
  <c r="J13" i="7"/>
  <c r="I13" i="7"/>
  <c r="H13" i="7"/>
  <c r="G13" i="7"/>
  <c r="F13" i="7"/>
  <c r="E13" i="7"/>
  <c r="D13" i="7"/>
  <c r="C13" i="7"/>
  <c r="B13" i="7"/>
  <c r="L12" i="7"/>
  <c r="P44" i="7" s="1"/>
  <c r="K12" i="7"/>
  <c r="J12" i="7"/>
  <c r="I12" i="7"/>
  <c r="H12" i="7"/>
  <c r="G12" i="7"/>
  <c r="F12" i="7"/>
  <c r="E12" i="7"/>
  <c r="M6" i="7" l="1"/>
  <c r="O44" i="7"/>
  <c r="M44" i="7"/>
  <c r="N20" i="7"/>
  <c r="C40" i="7"/>
  <c r="N44" i="7"/>
  <c r="N13" i="7"/>
  <c r="C43" i="7"/>
  <c r="C47" i="7" s="1"/>
  <c r="Q38" i="7"/>
  <c r="Q44" i="7" l="1"/>
  <c r="C51" i="7"/>
  <c r="R45" i="7"/>
  <c r="C53" i="7"/>
  <c r="D19" i="7"/>
  <c r="N19" i="7" s="1"/>
  <c r="D12" i="7"/>
  <c r="N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tc={FD26B956-9812-410C-A793-AB10BCBE60CB}</author>
    <author>tc={48276847-44B0-444F-9A3A-A0A6B256C6C9}</author>
    <author>tc={6ADFCF8C-382D-4BD0-BB33-1CC372E908AB}</author>
  </authors>
  <commentList>
    <comment ref="R12" authorId="0" shapeId="0" xr:uid="{FD26B956-9812-410C-A793-AB10BCBE60CB}">
      <text>
        <t>[Threaded comment]
Your version of Excel allows you to read this threaded comment; however, any edits to it will get removed if the file is opened in a newer version of Excel. Learn more: https://go.microsoft.com/fwlink/?linkid=870924
Comment:
    is it worth splitting European coast into north/south (and defining where I split them in-text)?</t>
      </text>
    </comment>
    <comment ref="S20" authorId="1" shapeId="0" xr:uid="{48276847-44B0-444F-9A3A-A0A6B256C6C9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these values are from srs_fArea_surfaceWater.ipynb
(in Google Drive under dataAnalysis)</t>
      </text>
    </comment>
    <comment ref="A269" authorId="2" shapeId="0" xr:uid="{6ADFCF8C-382D-4BD0-BB33-1CC372E908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 Doléan from LH category - it's too far. Maybe put it into "reference" category alongside Spain because it doesn't really fit into any other category</t>
      </text>
    </comment>
  </commentList>
</comments>
</file>

<file path=xl/sharedStrings.xml><?xml version="1.0" encoding="utf-8"?>
<sst xmlns="http://schemas.openxmlformats.org/spreadsheetml/2006/main" count="2092" uniqueCount="277">
  <si>
    <t>location</t>
  </si>
  <si>
    <t>date</t>
  </si>
  <si>
    <t>medium</t>
  </si>
  <si>
    <t>units</t>
  </si>
  <si>
    <t>citation</t>
  </si>
  <si>
    <t>Ste Hélène</t>
  </si>
  <si>
    <t>river water</t>
  </si>
  <si>
    <t>lake water</t>
  </si>
  <si>
    <t>Atarashi-Andoh 2007</t>
  </si>
  <si>
    <t>seawater</t>
  </si>
  <si>
    <t>Garlieston</t>
  </si>
  <si>
    <t>Schnabel 2007</t>
  </si>
  <si>
    <t>site</t>
  </si>
  <si>
    <t>LH</t>
  </si>
  <si>
    <t>SFD</t>
  </si>
  <si>
    <t>SFD/LH</t>
  </si>
  <si>
    <t>He 2014</t>
  </si>
  <si>
    <t>LH Env Reports 2021-2022</t>
  </si>
  <si>
    <t>Lopez-Gutierrez 2004</t>
  </si>
  <si>
    <t>SRS</t>
  </si>
  <si>
    <t>SFD Env Reports 2017-2021</t>
  </si>
  <si>
    <t>OPRI 1997</t>
  </si>
  <si>
    <t>Hou 2007</t>
  </si>
  <si>
    <t>Keogh 2007</t>
  </si>
  <si>
    <t>Keogh 2010</t>
  </si>
  <si>
    <t>Michel 2012</t>
  </si>
  <si>
    <t>Raisbeck 1995</t>
  </si>
  <si>
    <t>Nez de Jobourg</t>
  </si>
  <si>
    <t>Cap de La Hague</t>
  </si>
  <si>
    <t>Pointe de Jardeheu</t>
  </si>
  <si>
    <t>Anse des Moulinets</t>
  </si>
  <si>
    <t>Goury</t>
  </si>
  <si>
    <t>stream water</t>
  </si>
  <si>
    <t>Moulinets</t>
  </si>
  <si>
    <t>Landes</t>
  </si>
  <si>
    <t>Combes</t>
  </si>
  <si>
    <t>St Bees</t>
  </si>
  <si>
    <t>Sellafield</t>
  </si>
  <si>
    <t>Seascale Neb</t>
  </si>
  <si>
    <t>Drigg Barnscar</t>
  </si>
  <si>
    <t>SFD Env Report 2016</t>
  </si>
  <si>
    <t>Ullswater</t>
  </si>
  <si>
    <t>Derwent Water</t>
  </si>
  <si>
    <t>Buttermere</t>
  </si>
  <si>
    <t>Crummock Water</t>
  </si>
  <si>
    <t>Ennerdale Water</t>
  </si>
  <si>
    <t>Wast Water</t>
  </si>
  <si>
    <t>Coniston Water</t>
  </si>
  <si>
    <t>Loch Ken</t>
  </si>
  <si>
    <t>River Calder</t>
  </si>
  <si>
    <t>River Esk</t>
  </si>
  <si>
    <t>Brook into Wast Water</t>
  </si>
  <si>
    <t>River out of Wast Water</t>
  </si>
  <si>
    <t>Brighouse Bay</t>
  </si>
  <si>
    <t>Parton</t>
  </si>
  <si>
    <t>Millom</t>
  </si>
  <si>
    <t>Heysham</t>
  </si>
  <si>
    <t>Maryport</t>
  </si>
  <si>
    <t>Girvan</t>
  </si>
  <si>
    <t>Troon</t>
  </si>
  <si>
    <t>Sannox Bay</t>
  </si>
  <si>
    <t>Sanna Bay</t>
  </si>
  <si>
    <t>Vatersay</t>
  </si>
  <si>
    <t>Pollachar</t>
  </si>
  <si>
    <t>Barra</t>
  </si>
  <si>
    <t>Gruinard Bay</t>
  </si>
  <si>
    <t>Dornoch</t>
  </si>
  <si>
    <t>Aberdour Bay</t>
  </si>
  <si>
    <t>Orkney Mainland NW</t>
  </si>
  <si>
    <t>Orkney Mainland NE</t>
  </si>
  <si>
    <t>South Ronaldsay</t>
  </si>
  <si>
    <t>Clatteringshaws Loch</t>
  </si>
  <si>
    <t>Rowantree Burn</t>
  </si>
  <si>
    <t>He 2022</t>
  </si>
  <si>
    <t>English Channel</t>
  </si>
  <si>
    <t>Dec-05 - Apr-06</t>
  </si>
  <si>
    <t>precipitation</t>
  </si>
  <si>
    <t>max value</t>
  </si>
  <si>
    <t>min value</t>
  </si>
  <si>
    <t>avg value</t>
  </si>
  <si>
    <t>n</t>
  </si>
  <si>
    <t>Dec-05 - Apr-07</t>
  </si>
  <si>
    <t>Dec-05 - Apr-08</t>
  </si>
  <si>
    <t>Dec-05 - Apr-09</t>
  </si>
  <si>
    <t>Dec-05 - Apr-10</t>
  </si>
  <si>
    <t>Dec-05 - Apr-11</t>
  </si>
  <si>
    <t>Dec-05 - Apr-12</t>
  </si>
  <si>
    <t>Dec-05 - Apr-13</t>
  </si>
  <si>
    <t>Dec-05 - Apr-14</t>
  </si>
  <si>
    <t>Dec-05 - Apr-15</t>
  </si>
  <si>
    <t>Dec-05 - Apr-16</t>
  </si>
  <si>
    <t>Dec-05 - Apr-17</t>
  </si>
  <si>
    <t>Dec-05 - Apr-18</t>
  </si>
  <si>
    <t>seawater (far)</t>
  </si>
  <si>
    <t>seawater (coast)</t>
  </si>
  <si>
    <t>surface water</t>
  </si>
  <si>
    <t>Cushendall</t>
  </si>
  <si>
    <t>Bangor</t>
  </si>
  <si>
    <t>Newcastle</t>
  </si>
  <si>
    <t>Greenore</t>
  </si>
  <si>
    <t>Balbriggan</t>
  </si>
  <si>
    <t>Dublin Bay</t>
  </si>
  <si>
    <t>Kilbaha</t>
  </si>
  <si>
    <t>Clew Bay</t>
  </si>
  <si>
    <t>Galway Bay</t>
  </si>
  <si>
    <t>Waterfoot Stream, Co. Antrim</t>
  </si>
  <si>
    <t>tap water</t>
  </si>
  <si>
    <t>Boyne River, Co. Louth</t>
  </si>
  <si>
    <t>Dublin City</t>
  </si>
  <si>
    <t>Bunclody, Co. Wexford</t>
  </si>
  <si>
    <t>River Lee, Co. Cork</t>
  </si>
  <si>
    <t>River Suir, Co. Tipperary</t>
  </si>
  <si>
    <t>River Shannon, Co. Limerick</t>
  </si>
  <si>
    <t>Dunmore, Co. Galway</t>
  </si>
  <si>
    <t>Balinfield Lake, Co. Westmeath</t>
  </si>
  <si>
    <t>Temonbarry, Co. Longford</t>
  </si>
  <si>
    <t>River Erne, Co. Cavan</t>
  </si>
  <si>
    <t>Lake Gartan, Co. Donegal</t>
  </si>
  <si>
    <t>Cork City</t>
  </si>
  <si>
    <t>Valentia, Co. Kerry</t>
  </si>
  <si>
    <t>Kilkenny City</t>
  </si>
  <si>
    <t>Birr, Co. Offaly</t>
  </si>
  <si>
    <t>Mullingar, Co. Westmeath</t>
  </si>
  <si>
    <t>Belmullet, Co. Mayo</t>
  </si>
  <si>
    <t>Clones, Co. Monaghan</t>
  </si>
  <si>
    <t>Malin Head, Co. Donegal</t>
  </si>
  <si>
    <t>Shannon Airport, Co. Limerick</t>
  </si>
  <si>
    <t>rainwater</t>
  </si>
  <si>
    <t>Celtic Sea 49.70°N 5.30°W</t>
  </si>
  <si>
    <t>Celtic Sea 49.34°N 5.62°W</t>
  </si>
  <si>
    <t>Celtic Sea 48.93°N 6.01°W</t>
  </si>
  <si>
    <t>Celtic Sea 48.52°N 6.45°W</t>
  </si>
  <si>
    <t>Celtic Sea 48.19°N 7.02°W</t>
  </si>
  <si>
    <t>Celtic Sea 47.79°N 7.55°W</t>
  </si>
  <si>
    <t>Belgium/Dutch Coast</t>
  </si>
  <si>
    <t>German Bight</t>
  </si>
  <si>
    <t>North Sea</t>
  </si>
  <si>
    <t>Southeast English Coast</t>
  </si>
  <si>
    <t>Jan-98 - Jan-00</t>
  </si>
  <si>
    <t>English Channel and Southern Coast</t>
  </si>
  <si>
    <t>Central European Coast</t>
  </si>
  <si>
    <t>Doléan</t>
  </si>
  <si>
    <t>56 00'N, 06 00'E</t>
  </si>
  <si>
    <t>49 52'N, 00 00'E</t>
  </si>
  <si>
    <t>Lossimouth</t>
  </si>
  <si>
    <t>61 20'N, 7 53'W</t>
  </si>
  <si>
    <t>63 50'N, 6 05'W</t>
  </si>
  <si>
    <t>Lowestoft</t>
  </si>
  <si>
    <t>70 23'N, 31 31'E</t>
  </si>
  <si>
    <t>Stamsund</t>
  </si>
  <si>
    <t>73 00'N, 58 00'E</t>
  </si>
  <si>
    <t>Florø</t>
  </si>
  <si>
    <t>FM-2BD</t>
  </si>
  <si>
    <t>FMC-002F</t>
  </si>
  <si>
    <t>FAS-091</t>
  </si>
  <si>
    <t>2006-10-18 to 2015-11-03</t>
  </si>
  <si>
    <t>FM-A7U</t>
  </si>
  <si>
    <t>FAS-093</t>
  </si>
  <si>
    <t>FAS-092</t>
  </si>
  <si>
    <t>FMC-002H</t>
  </si>
  <si>
    <t>FMC-002HD</t>
  </si>
  <si>
    <t>2004-09-16 to 2015-06-07</t>
  </si>
  <si>
    <t>FAS-096</t>
  </si>
  <si>
    <t>pCi/L</t>
  </si>
  <si>
    <t>FM-2</t>
  </si>
  <si>
    <t>2000-09-06 to 2023-05-19</t>
  </si>
  <si>
    <t>FM-2A</t>
  </si>
  <si>
    <t>2000-09-05 to 2022-12-01</t>
  </si>
  <si>
    <t>FM-2B</t>
  </si>
  <si>
    <t>FM-2D</t>
  </si>
  <si>
    <t>FM-2U</t>
  </si>
  <si>
    <t>FM-A7</t>
  </si>
  <si>
    <t>FM-H1</t>
  </si>
  <si>
    <t>FM-H2</t>
  </si>
  <si>
    <t>2001-03-20 to 2023-03-01</t>
  </si>
  <si>
    <t>2001-09-12 to 2022-12-01</t>
  </si>
  <si>
    <t>1996-06-19 to 2022-08-31</t>
  </si>
  <si>
    <t>2000-09-07 to 2023-06-06</t>
  </si>
  <si>
    <t>2000-09-06 to 2023-03-01</t>
  </si>
  <si>
    <t>2000-09-07 to 2023-05-19</t>
  </si>
  <si>
    <t>2000-09-06 to 2022-08-29</t>
  </si>
  <si>
    <t>2000-09-05 to 2023-03-01</t>
  </si>
  <si>
    <t>Gonzalez-Raymat 2023</t>
  </si>
  <si>
    <t>PyLEnM 2022</t>
  </si>
  <si>
    <t>Ireland</t>
  </si>
  <si>
    <t>Seville</t>
  </si>
  <si>
    <t>category</t>
  </si>
  <si>
    <t>Norwegian Coast</t>
  </si>
  <si>
    <t>Site</t>
  </si>
  <si>
    <t>Total</t>
  </si>
  <si>
    <t>La Hague</t>
  </si>
  <si>
    <t>Liquid Effluent Release [Bq]</t>
  </si>
  <si>
    <t>average</t>
  </si>
  <si>
    <t>Killian 1987</t>
  </si>
  <si>
    <t>Effluent Concentrations [pCi/L]</t>
  </si>
  <si>
    <t>sig figs</t>
  </si>
  <si>
    <t>Volume of Liquid Effluent Release [L/yr]</t>
  </si>
  <si>
    <t>I-131 decay const:</t>
  </si>
  <si>
    <t>I-129 decay const:</t>
  </si>
  <si>
    <t>I-131 half life:</t>
  </si>
  <si>
    <t>I-129 half life:</t>
  </si>
  <si>
    <t>sec per day:</t>
  </si>
  <si>
    <t>sec per year:</t>
  </si>
  <si>
    <t>I-131 fission yield [%]</t>
  </si>
  <si>
    <t>I-129 fission yield [%]</t>
  </si>
  <si>
    <t>years using this holding time</t>
  </si>
  <si>
    <t>days</t>
  </si>
  <si>
    <t>weighted avg holding time scale factor (weighted by yrs used)</t>
  </si>
  <si>
    <t>scale factor to convert activity of I-131 --&gt; I-129</t>
  </si>
  <si>
    <t>scale factor to account for holding time (Killian 1987)</t>
  </si>
  <si>
    <t>effluent I-131 concentration [pCi/L] (Killian 1987)</t>
  </si>
  <si>
    <t>converted from I-131 concentration</t>
  </si>
  <si>
    <t>effluent I-129 concentration [pCi/L] from weighted avg</t>
  </si>
  <si>
    <t>effluent I-129 concentration [pCi/L] assuming 200d holding time (as was the case in the 80s, when the I-131 concentration measurement was taken)</t>
  </si>
  <si>
    <t>North Channel</t>
  </si>
  <si>
    <t>Average (Ci/yr)</t>
  </si>
  <si>
    <t>Avg [pCi/L]</t>
  </si>
  <si>
    <t>Savannah River (USA)</t>
  </si>
  <si>
    <t>Sellafield (UK)</t>
  </si>
  <si>
    <t>La Hague (FR)</t>
  </si>
  <si>
    <t>Reference</t>
  </si>
  <si>
    <t>Seville (Spain)</t>
  </si>
  <si>
    <t>Liquid Effluent Release (Ci)</t>
  </si>
  <si>
    <t>Source</t>
  </si>
  <si>
    <t>Liquid Effluent Release (GBq)</t>
  </si>
  <si>
    <t>Hanford</t>
  </si>
  <si>
    <t>Years of operation</t>
  </si>
  <si>
    <t>https://www.pnnl.gov/main/publications/external/technical_reports/PNNL-13605rev4.pdf</t>
  </si>
  <si>
    <t>https://www.pnnl.gov/main/publications/external/technical_reports/PNNL-24709Rev2.pdf</t>
  </si>
  <si>
    <t>Pu produced (mtons)</t>
  </si>
  <si>
    <t>(table 3)</t>
  </si>
  <si>
    <t>(pg 5)</t>
  </si>
  <si>
    <t>(1944-1989)</t>
  </si>
  <si>
    <t>Ci</t>
  </si>
  <si>
    <t>Bq</t>
  </si>
  <si>
    <t>Total liquid release</t>
  </si>
  <si>
    <t>Truex et al 2017</t>
  </si>
  <si>
    <t>Hanford (USA)</t>
  </si>
  <si>
    <t>Savannah River F-Area (USA)</t>
  </si>
  <si>
    <t>Average surface water concentration from all relevant sites</t>
  </si>
  <si>
    <t>average of everything SFD-related EXCEPT detection limits (SFD, N. Channel, Ireland):</t>
  </si>
  <si>
    <t>MAX of everything SFD-related EXCEPT detection limits (SFD, N. Channel, Ireland):</t>
  </si>
  <si>
    <t>N of everything SFD-related EXCEPT detection limits (SFD, N. Channel, Ireland):</t>
  </si>
  <si>
    <t>average of everything LH-related EXCEPT orano and OPRI decision limits (LH, E. Channel, N. Sea, E. Coast):</t>
  </si>
  <si>
    <t>MAX of everything LH-related EXCEPT orano and OPRI decision limits (LH, E. Channel, N. Sea, E. Coast):</t>
  </si>
  <si>
    <t>N of everything LH-related EXCEPT orano and OPRI decision limits (LH, E. Channel, N. Sea, E. Coast):</t>
  </si>
  <si>
    <t>European Coast</t>
  </si>
  <si>
    <t>Savannah River F-Area</t>
  </si>
  <si>
    <t>Region</t>
  </si>
  <si>
    <t>Average (pCi/L)</t>
  </si>
  <si>
    <t>Max (pCi/L)</t>
  </si>
  <si>
    <t>Lifetime Total Liquid Release (GBq)</t>
  </si>
  <si>
    <t>Average Yearly Release (GBq/yr)</t>
  </si>
  <si>
    <t>coordinates</t>
  </si>
  <si>
    <t>yes</t>
  </si>
  <si>
    <t>Savannah River Fourmile Branch (USA)</t>
  </si>
  <si>
    <t>NaN</t>
  </si>
  <si>
    <t>SRS calculations: converting I-131 effluent concentration to I-129 concentration</t>
  </si>
  <si>
    <t>Average surface water concentration from all relevant sites, with separate F-Area vs Fourmile Branch:</t>
  </si>
  <si>
    <t>Savannah River Fourmile Branch</t>
  </si>
  <si>
    <t>Savannah River Overall</t>
  </si>
  <si>
    <t>&lt;-- SRS values from srs_fArea_surfaceWater.ipynb</t>
  </si>
  <si>
    <t>&lt;-- calculated from values in Truex et al (2017) as described in paper</t>
  </si>
  <si>
    <t>Concentration calculations</t>
  </si>
  <si>
    <t>average of everything LH-related (LH, E. Channel, N. Sea, E. Coast) INCLUDING Orano and EPRI decision limits:</t>
  </si>
  <si>
    <t>average of everything SFD-related (SFD, N. Channel, Ireland) INCLUDING Sellafield detection limits:</t>
  </si>
  <si>
    <t>n/a</t>
  </si>
  <si>
    <t>Lifetime Total</t>
  </si>
  <si>
    <t>Kantelo et al 1993</t>
  </si>
  <si>
    <t>Bq per pCi</t>
  </si>
  <si>
    <t>Avg [Bq/L]</t>
  </si>
  <si>
    <t>Bq/L</t>
  </si>
  <si>
    <t>av, ng/L</t>
  </si>
  <si>
    <t>max, ng/L</t>
  </si>
  <si>
    <t>n*av srs</t>
  </si>
  <si>
    <t>n*av la</t>
  </si>
  <si>
    <t>n*av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</si>
</sst>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/>
    <xf numFmtId="11" fontId="0" fillId="0" borderId="0" xfId="0" applyNumberFormat="1"/>
    <xf numFmtId="0" fontId="0" fillId="0" borderId="3" xfId="0" applyBorder="1"/>
    <xf numFmtId="11" fontId="0" fillId="0" borderId="3" xfId="0" applyNumberFormat="1" applyBorder="1"/>
    <xf numFmtId="0" fontId="0" fillId="0" borderId="2" xfId="0" applyBorder="1"/>
    <xf numFmtId="11" fontId="0" fillId="0" borderId="2" xfId="0" applyNumberFormat="1" applyBorder="1"/>
    <xf numFmtId="0" fontId="0" fillId="0" borderId="1" xfId="0" applyBorder="1"/>
    <xf numFmtId="0" fontId="1" fillId="0" borderId="0" xfId="0" applyFont="1"/>
    <xf numFmtId="11" fontId="1" fillId="0" borderId="1" xfId="0" applyNumberFormat="1" applyFont="1" applyBorder="1"/>
    <xf numFmtId="11" fontId="1" fillId="0" borderId="0" xfId="0" applyNumberFormat="1" applyFont="1"/>
    <xf numFmtId="11" fontId="0" fillId="0" borderId="1" xfId="0" applyNumberFormat="1" applyBorder="1"/>
    <xf numFmtId="0" fontId="2" fillId="0" borderId="0" xfId="0" applyFont="1"/>
    <xf numFmtId="0" fontId="1" fillId="0" borderId="8" xfId="0" applyFont="1" applyBorder="1"/>
    <xf numFmtId="0" fontId="0" fillId="0" borderId="5" xfId="0" applyBorder="1"/>
    <xf numFmtId="0" fontId="0" fillId="0" borderId="10" xfId="0" applyBorder="1"/>
    <xf numFmtId="0" fontId="1" fillId="0" borderId="6" xfId="0" applyFont="1" applyBorder="1"/>
    <xf numFmtId="0" fontId="0" fillId="0" borderId="13" xfId="0" applyBorder="1"/>
    <xf numFmtId="11" fontId="0" fillId="0" borderId="13" xfId="0" applyNumberFormat="1" applyBorder="1"/>
    <xf numFmtId="11" fontId="0" fillId="0" borderId="10" xfId="0" applyNumberFormat="1" applyBorder="1"/>
    <xf numFmtId="0" fontId="0" fillId="0" borderId="11" xfId="0" applyBorder="1"/>
    <xf numFmtId="1" fontId="0" fillId="0" borderId="10" xfId="0" applyNumberFormat="1" applyBorder="1"/>
    <xf numFmtId="165" fontId="0" fillId="0" borderId="10" xfId="0" applyNumberFormat="1" applyBorder="1"/>
    <xf numFmtId="0" fontId="3" fillId="0" borderId="0" xfId="0" applyFont="1"/>
    <xf numFmtId="0" fontId="3" fillId="0" borderId="9" xfId="0" applyFont="1" applyBorder="1"/>
    <xf numFmtId="0" fontId="3" fillId="0" borderId="3" xfId="0" applyFont="1" applyBorder="1"/>
    <xf numFmtId="0" fontId="0" fillId="0" borderId="14" xfId="0" applyBorder="1"/>
    <xf numFmtId="0" fontId="0" fillId="0" borderId="7" xfId="0" applyBorder="1"/>
    <xf numFmtId="0" fontId="3" fillId="0" borderId="5" xfId="0" applyFont="1" applyBorder="1"/>
    <xf numFmtId="11" fontId="0" fillId="0" borderId="5" xfId="0" applyNumberFormat="1" applyBorder="1"/>
    <xf numFmtId="11" fontId="0" fillId="0" borderId="4" xfId="0" applyNumberFormat="1" applyBorder="1"/>
    <xf numFmtId="0" fontId="0" fillId="0" borderId="8" xfId="0" applyBorder="1"/>
    <xf numFmtId="0" fontId="3" fillId="0" borderId="12" xfId="0" applyFont="1" applyBorder="1"/>
    <xf numFmtId="165" fontId="0" fillId="0" borderId="11" xfId="0" applyNumberFormat="1" applyBorder="1"/>
    <xf numFmtId="166" fontId="0" fillId="0" borderId="11" xfId="0" applyNumberFormat="1" applyBorder="1"/>
    <xf numFmtId="164" fontId="0" fillId="0" borderId="2" xfId="0" applyNumberFormat="1" applyBorder="1"/>
    <xf numFmtId="0" fontId="0" fillId="0" borderId="4" xfId="0" applyBorder="1"/>
    <xf numFmtId="0" fontId="0" fillId="0" borderId="9" xfId="0" applyBorder="1"/>
    <xf numFmtId="2" fontId="0" fillId="0" borderId="10" xfId="0" applyNumberFormat="1" applyBorder="1"/>
    <xf numFmtId="0" fontId="0" fillId="2" borderId="0" xfId="0" applyFill="1"/>
    <xf numFmtId="0" fontId="1" fillId="2" borderId="8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0" fillId="2" borderId="13" xfId="0" applyFill="1" applyBorder="1"/>
    <xf numFmtId="0" fontId="0" fillId="3" borderId="13" xfId="0" applyFill="1" applyBorder="1"/>
    <xf numFmtId="1" fontId="0" fillId="3" borderId="10" xfId="0" applyNumberFormat="1" applyFill="1" applyBorder="1"/>
    <xf numFmtId="0" fontId="0" fillId="3" borderId="10" xfId="0" applyFill="1" applyBorder="1"/>
    <xf numFmtId="167" fontId="0" fillId="3" borderId="13" xfId="0" applyNumberFormat="1" applyFill="1" applyBorder="1"/>
    <xf numFmtId="2" fontId="0" fillId="3" borderId="10" xfId="0" applyNumberFormat="1" applyFill="1" applyBorder="1"/>
    <xf numFmtId="0" fontId="4" fillId="0" borderId="0" xfId="0" applyFont="1"/>
    <xf numFmtId="0" fontId="0" fillId="3" borderId="11" xfId="0" applyFill="1" applyBorder="1"/>
    <xf numFmtId="2" fontId="0" fillId="3" borderId="11" xfId="0" applyNumberFormat="1" applyFill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17" fontId="0" fillId="0" borderId="3" xfId="0" applyNumberFormat="1" applyBorder="1" applyAlignment="1">
      <alignment horizontal="left"/>
    </xf>
    <xf numFmtId="17" fontId="0" fillId="0" borderId="0" xfId="0" applyNumberFormat="1" applyAlignment="1">
      <alignment horizontal="left"/>
    </xf>
    <xf numFmtId="17" fontId="0" fillId="0" borderId="1" xfId="0" applyNumberFormat="1" applyBorder="1" applyAlignment="1">
      <alignment horizontal="left"/>
    </xf>
    <xf numFmtId="2" fontId="0" fillId="0" borderId="0" xfId="0" applyNumberFormat="1"/>
    <xf numFmtId="11" fontId="0" fillId="0" borderId="11" xfId="0" applyNumberFormat="1" applyBorder="1"/>
    <xf numFmtId="0" fontId="1" fillId="0" borderId="11" xfId="0" applyFont="1" applyBorder="1"/>
    <xf numFmtId="0" fontId="5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Yearly I-129 Release</c:v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83-4D35-8365-5606AAB28F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83-4D35-8365-5606AAB28F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83-4D35-8365-5606AAB28F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83-4D35-8365-5606AAB28F2C}"/>
              </c:ext>
            </c:extLst>
          </c:dPt>
          <c:cat>
            <c:strRef>
              <c:f>effluents!$AN$9:$AN$12</c:f>
              <c:strCache>
                <c:ptCount val="4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Hanford (USA)</c:v>
                </c:pt>
              </c:strCache>
            </c:strRef>
          </c:cat>
          <c:val>
            <c:numRef>
              <c:f>(effluents!$N$19:$N$21,effluents!$N$22)</c:f>
              <c:numCache>
                <c:formatCode>0</c:formatCode>
                <c:ptCount val="4"/>
                <c:pt idx="0">
                  <c:v>1388.8888888888889</c:v>
                </c:pt>
                <c:pt idx="1">
                  <c:v>239</c:v>
                </c:pt>
                <c:pt idx="2" formatCode="0.00">
                  <c:v>2.2424242424242422</c:v>
                </c:pt>
                <c:pt idx="3" formatCode="0.00">
                  <c:v>3.8644444444444446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315168"/>
        <c:axId val="409314448"/>
      </c:barChart>
      <c:barChart>
        <c:barDir val="col"/>
        <c:grouping val="clustered"/>
        <c:varyColors val="0"/>
        <c:ser>
          <c:idx val="1"/>
          <c:order val="1"/>
          <c:tx>
            <c:v>Avg surface water concentration (pCi/L)</c:v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E1-4C62-AE58-E22301B68F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2700">
                <a:solidFill>
                  <a:schemeClr val="accent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E1-4C62-AE58-E22301B68FA5}"/>
              </c:ext>
            </c:extLst>
          </c:dPt>
          <c:cat>
            <c:strRef>
              <c:f>effluents!$AN$9:$AN$12</c:f>
              <c:strCache>
                <c:ptCount val="4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Hanford (USA)</c:v>
                </c:pt>
              </c:strCache>
            </c:strRef>
          </c:cat>
          <c:val>
            <c:numRef>
              <c:f>effluents!$AO$9:$AO$12</c:f>
              <c:numCache>
                <c:formatCode>0.00E+00</c:formatCode>
                <c:ptCount val="4"/>
                <c:pt idx="0">
                  <c:v>4.3335422152318689E-3</c:v>
                </c:pt>
                <c:pt idx="1">
                  <c:v>1.5297353206103162E-2</c:v>
                </c:pt>
                <c:pt idx="2" formatCode="General">
                  <c:v>29.1</c:v>
                </c:pt>
                <c:pt idx="3">
                  <c:v>1.6200000000000001E-5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07356688"/>
        <c:axId val="507354528"/>
      </c:barChart>
      <c:catAx>
        <c:axId val="409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4448"/>
        <c:crosses val="autoZero"/>
        <c:auto val="1"/>
        <c:lblAlgn val="ctr"/>
        <c:lblOffset val="100"/>
        <c:noMultiLvlLbl val="0"/>
      </c:catAx>
      <c:valAx>
        <c:axId val="409314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chemeClr val="accent1"/>
                    </a:solidFill>
                  </a:rPr>
                  <a:t>Avg yearly liquid I-129 effluent (GBq/yr)</a:t>
                </a:r>
              </a:p>
            </c:rich>
          </c:tx>
          <c:layout>
            <c:manualLayout>
              <c:xMode val="edge"/>
              <c:yMode val="edge"/>
              <c:x val="1.9197037735311048E-2"/>
              <c:y val="8.84430240903849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5168"/>
        <c:crosses val="autoZero"/>
        <c:crossBetween val="between"/>
      </c:valAx>
      <c:valAx>
        <c:axId val="507354528"/>
        <c:scaling>
          <c:logBase val="10"/>
          <c:orientation val="minMax"/>
          <c:max val="1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 b="0">
                    <a:solidFill>
                      <a:schemeClr val="accent2"/>
                    </a:solidFill>
                  </a:rPr>
                  <a:t>Avg surface water concentration (pCi/L)</a:t>
                </a:r>
                <a:endParaRPr lang="en-CA" sz="14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64783345888693"/>
              <c:y val="9.1406515917308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56688"/>
        <c:crosses val="max"/>
        <c:crossBetween val="between"/>
      </c:valAx>
      <c:catAx>
        <c:axId val="507356688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507354528"/>
        <c:crossesAt val="1.0000000000000004E-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2000">
                <a:solidFill>
                  <a:schemeClr val="tx1"/>
                </a:solidFill>
              </a:rPr>
              <a:t>I-129 Liquid </a:t>
            </a:r>
            <a:r>
              <a:rPr lang="en-CA" sz="2000" b="0" i="0" u="none" strike="noStrike" kern="1200" spc="0" baseline="0">
                <a:solidFill>
                  <a:schemeClr val="tx1"/>
                </a:solidFill>
              </a:rPr>
              <a:t>Effluents at Used Nuclear Fuel Recycling Plants</a:t>
            </a:r>
            <a:endParaRPr lang="en-CA" sz="20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520495768111827"/>
          <c:y val="2.5430465697906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La Hague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effluents!$B$18:$L$18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effluents!$B$19:$L$19</c:f>
              <c:numCache>
                <c:formatCode>General</c:formatCode>
                <c:ptCount val="11"/>
                <c:pt idx="2">
                  <c:v>1640</c:v>
                </c:pt>
                <c:pt idx="3">
                  <c:v>1640</c:v>
                </c:pt>
                <c:pt idx="4">
                  <c:v>1440</c:v>
                </c:pt>
                <c:pt idx="5">
                  <c:v>1280</c:v>
                </c:pt>
                <c:pt idx="6">
                  <c:v>1310</c:v>
                </c:pt>
                <c:pt idx="7">
                  <c:v>1710</c:v>
                </c:pt>
                <c:pt idx="8">
                  <c:v>1240</c:v>
                </c:pt>
                <c:pt idx="9">
                  <c:v>1040</c:v>
                </c:pt>
                <c:pt idx="10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4-42FB-A861-E19F3A13B8F2}"/>
            </c:ext>
          </c:extLst>
        </c:ser>
        <c:ser>
          <c:idx val="0"/>
          <c:order val="1"/>
          <c:tx>
            <c:v>Sellafield</c:v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effluents!$B$18:$L$18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effluents!$B$20:$L$20</c:f>
              <c:numCache>
                <c:formatCode>General</c:formatCode>
                <c:ptCount val="11"/>
                <c:pt idx="0">
                  <c:v>210</c:v>
                </c:pt>
                <c:pt idx="1">
                  <c:v>290</c:v>
                </c:pt>
                <c:pt idx="2">
                  <c:v>360</c:v>
                </c:pt>
                <c:pt idx="3">
                  <c:v>360</c:v>
                </c:pt>
                <c:pt idx="4">
                  <c:v>520</c:v>
                </c:pt>
                <c:pt idx="5">
                  <c:v>260</c:v>
                </c:pt>
                <c:pt idx="6">
                  <c:v>300</c:v>
                </c:pt>
                <c:pt idx="7">
                  <c:v>40</c:v>
                </c:pt>
                <c:pt idx="8">
                  <c:v>30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4-42FB-A861-E19F3A13B8F2}"/>
            </c:ext>
          </c:extLst>
        </c:ser>
        <c:ser>
          <c:idx val="2"/>
          <c:order val="2"/>
          <c:tx>
            <c:v>Savannah River Site (avg/yr)</c:v>
          </c:tx>
          <c:spPr>
            <a:ln w="28575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val>
            <c:numRef>
              <c:f>effluents!$B$21:$L$21</c:f>
              <c:numCache>
                <c:formatCode>0.0</c:formatCode>
                <c:ptCount val="11"/>
                <c:pt idx="0">
                  <c:v>2.2424242424242422</c:v>
                </c:pt>
                <c:pt idx="1">
                  <c:v>2.2424242424242422</c:v>
                </c:pt>
                <c:pt idx="2">
                  <c:v>2.2424242424242422</c:v>
                </c:pt>
                <c:pt idx="3">
                  <c:v>2.2424242424242422</c:v>
                </c:pt>
                <c:pt idx="4">
                  <c:v>2.2424242424242422</c:v>
                </c:pt>
                <c:pt idx="5">
                  <c:v>2.2424242424242422</c:v>
                </c:pt>
                <c:pt idx="6">
                  <c:v>2.2424242424242422</c:v>
                </c:pt>
                <c:pt idx="7">
                  <c:v>2.2424242424242422</c:v>
                </c:pt>
                <c:pt idx="8">
                  <c:v>2.2424242424242422</c:v>
                </c:pt>
                <c:pt idx="9">
                  <c:v>2.2424242424242422</c:v>
                </c:pt>
                <c:pt idx="10">
                  <c:v>2.2424242424242422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94-42FB-A861-E19F3A13B8F2}"/>
            </c:ext>
          </c:extLst>
        </c:ser>
        <c:ser>
          <c:idx val="3"/>
          <c:order val="3"/>
          <c:tx>
            <c:v>Hanford (avg/yr)</c:v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effluents!$B$22:$L$22</c:f>
              <c:numCache>
                <c:formatCode>General</c:formatCode>
                <c:ptCount val="11"/>
                <c:pt idx="0">
                  <c:v>3.8644444444444446</c:v>
                </c:pt>
                <c:pt idx="1">
                  <c:v>3.8644444444444446</c:v>
                </c:pt>
                <c:pt idx="2">
                  <c:v>3.8644444444444446</c:v>
                </c:pt>
                <c:pt idx="3">
                  <c:v>3.8644444444444446</c:v>
                </c:pt>
                <c:pt idx="4">
                  <c:v>3.8644444444444446</c:v>
                </c:pt>
                <c:pt idx="5">
                  <c:v>3.8644444444444446</c:v>
                </c:pt>
                <c:pt idx="6">
                  <c:v>3.8644444444444446</c:v>
                </c:pt>
                <c:pt idx="7">
                  <c:v>3.8644444444444446</c:v>
                </c:pt>
                <c:pt idx="8">
                  <c:v>3.8644444444444446</c:v>
                </c:pt>
                <c:pt idx="9">
                  <c:v>3.8644444444444446</c:v>
                </c:pt>
                <c:pt idx="10">
                  <c:v>3.8644444444444446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94-42FB-A861-E19F3A13B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328824"/>
        <c:axId val="577329904"/>
      </c:lineChart>
      <c:catAx>
        <c:axId val="57732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29904"/>
        <c:crosses val="autoZero"/>
        <c:auto val="1"/>
        <c:lblAlgn val="ctr"/>
        <c:lblOffset val="100"/>
        <c:noMultiLvlLbl val="0"/>
      </c:catAx>
      <c:valAx>
        <c:axId val="577329904"/>
        <c:scaling>
          <c:logBase val="10"/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2000">
                    <a:solidFill>
                      <a:schemeClr val="tx1"/>
                    </a:solidFill>
                  </a:rPr>
                  <a:t>I-129 Discharge (GBq)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32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761061454939428"/>
          <c:y val="0.48138543029654102"/>
          <c:w val="0.28214418935855268"/>
          <c:h val="0.2866490796352763"/>
        </c:manualLayout>
      </c:layout>
      <c:overlay val="1"/>
      <c:spPr>
        <a:solidFill>
          <a:schemeClr val="bg1"/>
        </a:solidFill>
        <a:ln cap="rnd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Yearly I-129 Release</c:v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83-4D35-8365-5606AAB28F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83-4D35-8365-5606AAB28F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83-4D35-8365-5606AAB28F2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2C-4334-849A-13CC33A7E7D5}"/>
              </c:ext>
            </c:extLst>
          </c:dPt>
          <c:cat>
            <c:strRef>
              <c:f>effluents!$AN$17:$AN$21</c:f>
              <c:strCache>
                <c:ptCount val="5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Savannah River Fourmile Branch (USA)</c:v>
                </c:pt>
                <c:pt idx="4">
                  <c:v>Hanford (USA)</c:v>
                </c:pt>
              </c:strCache>
            </c:strRef>
          </c:cat>
          <c:val>
            <c:numRef>
              <c:f>(effluents!$N$19:$N$21,effluents!$N$23,effluents!$N$22)</c:f>
              <c:numCache>
                <c:formatCode>0</c:formatCode>
                <c:ptCount val="5"/>
                <c:pt idx="0">
                  <c:v>1388.8888888888889</c:v>
                </c:pt>
                <c:pt idx="1">
                  <c:v>239</c:v>
                </c:pt>
                <c:pt idx="2" formatCode="0.00">
                  <c:v>2.2424242424242422</c:v>
                </c:pt>
                <c:pt idx="3" formatCode="0.00">
                  <c:v>0</c:v>
                </c:pt>
                <c:pt idx="4" formatCode="0.00">
                  <c:v>3.8644444444444446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315168"/>
        <c:axId val="409314448"/>
      </c:barChart>
      <c:barChart>
        <c:barDir val="col"/>
        <c:grouping val="clustered"/>
        <c:varyColors val="0"/>
        <c:ser>
          <c:idx val="1"/>
          <c:order val="1"/>
          <c:tx>
            <c:v>Avg surface water concentration (pCi/L)</c:v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effluents!$AN$17:$AN$21</c:f>
              <c:strCache>
                <c:ptCount val="5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Savannah River Fourmile Branch (USA)</c:v>
                </c:pt>
                <c:pt idx="4">
                  <c:v>Hanford (USA)</c:v>
                </c:pt>
              </c:strCache>
            </c:strRef>
          </c:cat>
          <c:val>
            <c:numRef>
              <c:f>effluents!$AO$17:$AO$21</c:f>
              <c:numCache>
                <c:formatCode>0.00E+00</c:formatCode>
                <c:ptCount val="5"/>
                <c:pt idx="0">
                  <c:v>4.3335422152318689E-3</c:v>
                </c:pt>
                <c:pt idx="1">
                  <c:v>1.5297353206103162E-2</c:v>
                </c:pt>
                <c:pt idx="2" formatCode="General">
                  <c:v>215</c:v>
                </c:pt>
                <c:pt idx="3" formatCode="General">
                  <c:v>1.36</c:v>
                </c:pt>
                <c:pt idx="4">
                  <c:v>1.6200000000000001E-5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07356688"/>
        <c:axId val="507354528"/>
      </c:barChart>
      <c:catAx>
        <c:axId val="409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4448"/>
        <c:crosses val="autoZero"/>
        <c:auto val="1"/>
        <c:lblAlgn val="ctr"/>
        <c:lblOffset val="100"/>
        <c:noMultiLvlLbl val="0"/>
      </c:catAx>
      <c:valAx>
        <c:axId val="409314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chemeClr val="accent1"/>
                    </a:solidFill>
                  </a:rPr>
                  <a:t>Avg yearly liquid I-129 effluent (GBq/yr)</a:t>
                </a:r>
              </a:p>
            </c:rich>
          </c:tx>
          <c:layout>
            <c:manualLayout>
              <c:xMode val="edge"/>
              <c:yMode val="edge"/>
              <c:x val="1.9197037735311048E-2"/>
              <c:y val="8.84430240903849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5168"/>
        <c:crosses val="autoZero"/>
        <c:crossBetween val="between"/>
      </c:valAx>
      <c:valAx>
        <c:axId val="507354528"/>
        <c:scaling>
          <c:logBase val="10"/>
          <c:orientation val="minMax"/>
          <c:max val="1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 b="0">
                    <a:solidFill>
                      <a:schemeClr val="accent2"/>
                    </a:solidFill>
                  </a:rPr>
                  <a:t>Avg surface water concentration (pCi/L)</a:t>
                </a:r>
                <a:endParaRPr lang="en-CA" sz="14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64783345888693"/>
              <c:y val="9.1406515917308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56688"/>
        <c:crosses val="max"/>
        <c:crossBetween val="between"/>
      </c:valAx>
      <c:catAx>
        <c:axId val="507356688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507354528"/>
        <c:crossesAt val="1.0000000000000004E-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Yearly I-129 Release</c:v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83-4D35-8365-5606AAB28F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83-4D35-8365-5606AAB28F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83-4D35-8365-5606AAB28F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83-4D35-8365-5606AAB28F2C}"/>
              </c:ext>
            </c:extLst>
          </c:dPt>
          <c:cat>
            <c:strRef>
              <c:f>effluents!$AN$9:$AN$12</c:f>
              <c:strCache>
                <c:ptCount val="4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Hanford (USA)</c:v>
                </c:pt>
              </c:strCache>
            </c:strRef>
          </c:cat>
          <c:val>
            <c:numRef>
              <c:f>(effluents!$N$19:$N$21,effluents!$N$22)</c:f>
              <c:numCache>
                <c:formatCode>0</c:formatCode>
                <c:ptCount val="4"/>
                <c:pt idx="0">
                  <c:v>1388.8888888888889</c:v>
                </c:pt>
                <c:pt idx="1">
                  <c:v>239</c:v>
                </c:pt>
                <c:pt idx="2" formatCode="0.00">
                  <c:v>2.2424242424242422</c:v>
                </c:pt>
                <c:pt idx="3" formatCode="0.00">
                  <c:v>3.8644444444444446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315168"/>
        <c:axId val="409314448"/>
      </c:barChart>
      <c:barChart>
        <c:barDir val="col"/>
        <c:grouping val="clustered"/>
        <c:varyColors val="0"/>
        <c:ser>
          <c:idx val="1"/>
          <c:order val="1"/>
          <c:tx>
            <c:v>Avg surface water concentration (Bq/L)</c:v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effluents!$AN$9:$AN$12</c:f>
              <c:strCache>
                <c:ptCount val="4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Hanford (USA)</c:v>
                </c:pt>
              </c:strCache>
            </c:strRef>
          </c:cat>
          <c:val>
            <c:numRef>
              <c:f>effluents!$AO$30:$AO$33</c:f>
              <c:numCache>
                <c:formatCode>0.00E+00</c:formatCode>
                <c:ptCount val="4"/>
                <c:pt idx="0">
                  <c:v>1.6034106196357914E-4</c:v>
                </c:pt>
                <c:pt idx="1">
                  <c:v>5.6600206862581696E-4</c:v>
                </c:pt>
                <c:pt idx="2">
                  <c:v>1.0767</c:v>
                </c:pt>
                <c:pt idx="3">
                  <c:v>5.9940000000000003E-7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07356688"/>
        <c:axId val="507354528"/>
      </c:barChart>
      <c:catAx>
        <c:axId val="409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4448"/>
        <c:crosses val="autoZero"/>
        <c:auto val="1"/>
        <c:lblAlgn val="ctr"/>
        <c:lblOffset val="100"/>
        <c:noMultiLvlLbl val="0"/>
      </c:catAx>
      <c:valAx>
        <c:axId val="409314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chemeClr val="accent1"/>
                    </a:solidFill>
                  </a:rPr>
                  <a:t>Avg yearly liquid I-129 effluent (GBq/yr)</a:t>
                </a:r>
              </a:p>
            </c:rich>
          </c:tx>
          <c:layout>
            <c:manualLayout>
              <c:xMode val="edge"/>
              <c:yMode val="edge"/>
              <c:x val="1.9197037735311048E-2"/>
              <c:y val="8.84430240903849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5168"/>
        <c:crosses val="autoZero"/>
        <c:crossBetween val="between"/>
      </c:valAx>
      <c:valAx>
        <c:axId val="507354528"/>
        <c:scaling>
          <c:logBase val="10"/>
          <c:orientation val="minMax"/>
          <c:max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 b="0">
                    <a:solidFill>
                      <a:schemeClr val="accent2"/>
                    </a:solidFill>
                  </a:rPr>
                  <a:t>Avg surface water concentration (Bq/L)</a:t>
                </a:r>
                <a:endParaRPr lang="en-CA" sz="14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64783345888693"/>
              <c:y val="9.1406515917308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56688"/>
        <c:crosses val="max"/>
        <c:crossBetween val="between"/>
      </c:valAx>
      <c:catAx>
        <c:axId val="507356688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507354528"/>
        <c:crossesAt val="1.0000000000000005E-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Yearly I-129 Release</c:v>
          </c:tx>
          <c:spPr>
            <a:solidFill>
              <a:schemeClr val="accent5">
                <a:lumMod val="60000"/>
                <a:lumOff val="40000"/>
              </a:schemeClr>
            </a:solidFill>
            <a:ln w="12700"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83-4D35-8365-5606AAB28F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83-4D35-8365-5606AAB28F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83-4D35-8365-5606AAB28F2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2C-4334-849A-13CC33A7E7D5}"/>
              </c:ext>
            </c:extLst>
          </c:dPt>
          <c:cat>
            <c:strRef>
              <c:f>effluents!$AN$17:$AN$21</c:f>
              <c:strCache>
                <c:ptCount val="5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Savannah River Fourmile Branch (USA)</c:v>
                </c:pt>
                <c:pt idx="4">
                  <c:v>Hanford (USA)</c:v>
                </c:pt>
              </c:strCache>
            </c:strRef>
          </c:cat>
          <c:val>
            <c:numRef>
              <c:f>(effluents!$N$19:$N$21,effluents!$N$23,effluents!$N$22)</c:f>
              <c:numCache>
                <c:formatCode>0</c:formatCode>
                <c:ptCount val="5"/>
                <c:pt idx="0">
                  <c:v>1388.8888888888889</c:v>
                </c:pt>
                <c:pt idx="1">
                  <c:v>239</c:v>
                </c:pt>
                <c:pt idx="2" formatCode="0.00">
                  <c:v>2.2424242424242422</c:v>
                </c:pt>
                <c:pt idx="3" formatCode="0.00">
                  <c:v>0</c:v>
                </c:pt>
                <c:pt idx="4" formatCode="0.00">
                  <c:v>3.8644444444444446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9315168"/>
        <c:axId val="409314448"/>
      </c:barChart>
      <c:barChart>
        <c:barDir val="col"/>
        <c:grouping val="clustered"/>
        <c:varyColors val="0"/>
        <c:ser>
          <c:idx val="1"/>
          <c:order val="1"/>
          <c:tx>
            <c:v>Avg surface water concentration (pCi/L)</c:v>
          </c:tx>
          <c:spPr>
            <a:solidFill>
              <a:schemeClr val="accent2">
                <a:lumMod val="60000"/>
                <a:lumOff val="40000"/>
              </a:schemeClr>
            </a:solidFill>
            <a:ln w="12700">
              <a:solidFill>
                <a:schemeClr val="accent2">
                  <a:lumMod val="50000"/>
                </a:schemeClr>
              </a:solidFill>
            </a:ln>
            <a:effectLst/>
          </c:spPr>
          <c:invertIfNegative val="0"/>
          <c:cat>
            <c:strRef>
              <c:f>effluents!$AN$17:$AN$21</c:f>
              <c:strCache>
                <c:ptCount val="5"/>
                <c:pt idx="0">
                  <c:v>La Hague (FR)</c:v>
                </c:pt>
                <c:pt idx="1">
                  <c:v>Sellafield (UK)</c:v>
                </c:pt>
                <c:pt idx="2">
                  <c:v>Savannah River F-Area (USA)</c:v>
                </c:pt>
                <c:pt idx="3">
                  <c:v>Savannah River Fourmile Branch (USA)</c:v>
                </c:pt>
                <c:pt idx="4">
                  <c:v>Hanford (USA)</c:v>
                </c:pt>
              </c:strCache>
            </c:strRef>
          </c:cat>
          <c:val>
            <c:numRef>
              <c:f>effluents!$AO$38:$AO$42</c:f>
              <c:numCache>
                <c:formatCode>0.00E+00</c:formatCode>
                <c:ptCount val="5"/>
                <c:pt idx="0">
                  <c:v>1.6034106196357914E-4</c:v>
                </c:pt>
                <c:pt idx="1">
                  <c:v>5.6600206862581696E-4</c:v>
                </c:pt>
                <c:pt idx="2">
                  <c:v>7.9549999999999992</c:v>
                </c:pt>
                <c:pt idx="3">
                  <c:v>5.0320000000000004E-2</c:v>
                </c:pt>
                <c:pt idx="4">
                  <c:v>5.9940000000000003E-7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E1-4C62-AE58-E22301B68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07356688"/>
        <c:axId val="507354528"/>
      </c:barChart>
      <c:catAx>
        <c:axId val="4093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4448"/>
        <c:crosses val="autoZero"/>
        <c:auto val="1"/>
        <c:lblAlgn val="ctr"/>
        <c:lblOffset val="100"/>
        <c:noMultiLvlLbl val="0"/>
      </c:catAx>
      <c:valAx>
        <c:axId val="409314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>
                    <a:solidFill>
                      <a:schemeClr val="accent1"/>
                    </a:solidFill>
                  </a:rPr>
                  <a:t>Avg yearly liquid I-129 effluent (GBq/yr)</a:t>
                </a:r>
              </a:p>
            </c:rich>
          </c:tx>
          <c:layout>
            <c:manualLayout>
              <c:xMode val="edge"/>
              <c:yMode val="edge"/>
              <c:x val="1.9197037735311048E-2"/>
              <c:y val="8.844302409038494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315168"/>
        <c:crosses val="autoZero"/>
        <c:crossBetween val="between"/>
      </c:valAx>
      <c:valAx>
        <c:axId val="507354528"/>
        <c:scaling>
          <c:logBase val="10"/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600" b="0">
                    <a:solidFill>
                      <a:schemeClr val="accent2"/>
                    </a:solidFill>
                  </a:rPr>
                  <a:t>Avg surface water concentration (Bq/L)</a:t>
                </a:r>
                <a:endParaRPr lang="en-CA" sz="14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4964783345888693"/>
              <c:y val="9.14065159173083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356688"/>
        <c:crosses val="max"/>
        <c:crossBetween val="between"/>
      </c:valAx>
      <c:catAx>
        <c:axId val="507356688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507354528"/>
        <c:crossesAt val="1.0000000000000005E-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144115</xdr:colOff>
      <xdr:row>0</xdr:row>
      <xdr:rowOff>64451</xdr:rowOff>
    </xdr:from>
    <xdr:to>
      <xdr:col>62</xdr:col>
      <xdr:colOff>116492</xdr:colOff>
      <xdr:row>25</xdr:row>
      <xdr:rowOff>95949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2D7444-9E06-EDB9-4A66-6EE8EDBF0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267233</xdr:colOff>
      <xdr:row>2</xdr:row>
      <xdr:rowOff>14448</xdr:rowOff>
    </xdr:from>
    <xdr:to>
      <xdr:col>35</xdr:col>
      <xdr:colOff>395570</xdr:colOff>
      <xdr:row>23</xdr:row>
      <xdr:rowOff>136801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663C60-ACC1-4875-BAFE-AE2F2E51B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455798</xdr:colOff>
      <xdr:row>0</xdr:row>
      <xdr:rowOff>84583</xdr:rowOff>
    </xdr:from>
    <xdr:to>
      <xdr:col>77</xdr:col>
      <xdr:colOff>234223</xdr:colOff>
      <xdr:row>25</xdr:row>
      <xdr:rowOff>98337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93E504-341E-69B6-CE2E-D91714E85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71193</xdr:colOff>
      <xdr:row>27</xdr:row>
      <xdr:rowOff>32496</xdr:rowOff>
    </xdr:from>
    <xdr:to>
      <xdr:col>62</xdr:col>
      <xdr:colOff>43570</xdr:colOff>
      <xdr:row>52</xdr:row>
      <xdr:rowOff>63994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DE8EC9-D2F2-B8E2-646C-0C3FBDC89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62</xdr:col>
      <xdr:colOff>526263</xdr:colOff>
      <xdr:row>26</xdr:row>
      <xdr:rowOff>114079</xdr:rowOff>
    </xdr:from>
    <xdr:to>
      <xdr:col>77</xdr:col>
      <xdr:colOff>304688</xdr:colOff>
      <xdr:row>51</xdr:row>
      <xdr:rowOff>127833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0438C7-F1A4-FF63-19C9-3CF99667B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ay Whiteaker" id="{6FBC4BCB-5A79-43D0-8BAA-BA5F374E8DE9}" userId="S::kwhit@MIT.EDU::1aa9a4fa-47bc-4d53-a76d-640da79d02e7" providerId="AD"/>
  <person displayName="Kay Whiteaker" id="{C4DCDBB0-F05E-4DC6-ABAF-7F57320FF891}" userId="S::kwhit@mit.edu::1aa9a4fa-47bc-4d53-a76d-640da79d02e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2" dT="2024-02-02T21:14:08.07" personId="{6FBC4BCB-5A79-43D0-8BAA-BA5F374E8DE9}" id="{FD26B956-9812-410C-A793-AB10BCBE60CB}">
    <text>is it worth splitting European coast into north/south (and defining where I split them in-text)?</text>
  </threadedComment>
  <threadedComment ref="S20" dT="2024-04-03T19:12:15.96" personId="{C4DCDBB0-F05E-4DC6-ABAF-7F57320FF891}" id="{48276847-44B0-444F-9A3A-A0A6B256C6C9}">
    <text>All these values are from srs_fArea_surfaceWater.ipynb
(in Google Drive under dataAnalysis)</text>
  </threadedComment>
  <threadedComment ref="A269" dT="2023-12-20T23:14:01.52" personId="{C4DCDBB0-F05E-4DC6-ABAF-7F57320FF891}" id="{6ADFCF8C-382D-4BD0-BB33-1CC372E908AB}">
    <text>Remove Doléan from LH category - it's too far. Maybe put it into "reference" category alongside Spain because it doesn't really fit into any other category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02C3-4318-4493-A046-E8EBA5F8FCF1}">
  <dimension ref="A1:BD54"/>
  <sheetViews>
    <sheetView tabSelected="1" topLeftCell="L1" zoomScale="108" zoomScaleNormal="85" workbookViewId="0">
      <selection activeCell="AB31" sqref="AB31"/>
    </sheetView>
  </sheetViews>
  <sheetFormatPr baseColWidth="10" defaultColWidth="8.83203125" defaultRowHeight="15"/>
  <cols>
    <col min="1" max="1" width="12.33203125" customWidth="1"/>
    <col min="2" max="6" width="8.6640625" customWidth="1"/>
    <col min="7" max="8" width="9" bestFit="1" customWidth="1"/>
    <col min="9" max="11" width="9.33203125" bestFit="1" customWidth="1"/>
    <col min="12" max="13" width="11.5" bestFit="1" customWidth="1"/>
    <col min="14" max="14" width="8.6640625" customWidth="1"/>
    <col min="15" max="15" width="11.5" bestFit="1" customWidth="1"/>
    <col min="16" max="16" width="8.6640625" customWidth="1"/>
    <col min="17" max="17" width="10.1640625" bestFit="1" customWidth="1"/>
    <col min="18" max="18" width="9" bestFit="1" customWidth="1"/>
    <col min="19" max="19" width="8.6640625" customWidth="1"/>
    <col min="20" max="21" width="9" bestFit="1" customWidth="1"/>
    <col min="22" max="22" width="8.83203125" bestFit="1" customWidth="1"/>
    <col min="26" max="26" width="9.5" bestFit="1" customWidth="1"/>
    <col min="32" max="32" width="8.6640625" customWidth="1"/>
    <col min="34" max="51" width="8.6640625" customWidth="1"/>
    <col min="54" max="55" width="8.6640625" customWidth="1"/>
    <col min="56" max="56" width="8.83203125" bestFit="1" customWidth="1"/>
  </cols>
  <sheetData>
    <row r="1" spans="1:56" ht="14.5" customHeight="1">
      <c r="B1" s="61" t="s">
        <v>191</v>
      </c>
      <c r="C1" s="62"/>
      <c r="D1" s="62"/>
      <c r="E1" s="62"/>
      <c r="F1" s="62"/>
      <c r="G1" s="62"/>
      <c r="H1" s="62"/>
      <c r="I1" s="62"/>
      <c r="J1" s="62"/>
      <c r="K1" s="62"/>
      <c r="L1" s="63"/>
    </row>
    <row r="2" spans="1:56">
      <c r="A2" s="13" t="s">
        <v>188</v>
      </c>
      <c r="B2" s="13">
        <v>2012</v>
      </c>
      <c r="C2" s="13">
        <v>2013</v>
      </c>
      <c r="D2" s="13">
        <v>2014</v>
      </c>
      <c r="E2" s="13">
        <v>2015</v>
      </c>
      <c r="F2" s="16">
        <v>2016</v>
      </c>
      <c r="G2" s="16">
        <v>2017</v>
      </c>
      <c r="H2" s="16">
        <v>2018</v>
      </c>
      <c r="I2" s="16">
        <v>2019</v>
      </c>
      <c r="J2" s="16">
        <v>2020</v>
      </c>
      <c r="K2" s="16">
        <v>2021</v>
      </c>
      <c r="L2" s="16">
        <v>2022</v>
      </c>
      <c r="M2" s="13" t="s">
        <v>267</v>
      </c>
      <c r="N2" s="13" t="s">
        <v>215</v>
      </c>
      <c r="O2" s="1" t="s">
        <v>4</v>
      </c>
    </row>
    <row r="3" spans="1:56">
      <c r="A3" s="17" t="s">
        <v>219</v>
      </c>
      <c r="B3" s="18"/>
      <c r="C3" s="18"/>
      <c r="D3" s="18">
        <v>1640000000000</v>
      </c>
      <c r="E3" s="18">
        <v>1640000000000</v>
      </c>
      <c r="F3" s="19">
        <v>1440000000000</v>
      </c>
      <c r="G3" s="19">
        <v>1280000000000</v>
      </c>
      <c r="H3" s="19">
        <v>1310000000000</v>
      </c>
      <c r="I3" s="19">
        <v>1710000000000</v>
      </c>
      <c r="J3" s="19">
        <v>1240000000000</v>
      </c>
      <c r="K3" s="19">
        <v>1040000000000</v>
      </c>
      <c r="L3" s="58">
        <v>1200000000000</v>
      </c>
      <c r="M3" s="20"/>
      <c r="N3" s="20"/>
      <c r="O3" s="15" t="s">
        <v>17</v>
      </c>
    </row>
    <row r="4" spans="1:56">
      <c r="A4" s="17" t="s">
        <v>218</v>
      </c>
      <c r="B4" s="18">
        <v>210000000000</v>
      </c>
      <c r="C4" s="18">
        <v>290000000000</v>
      </c>
      <c r="D4" s="18">
        <v>360000000000</v>
      </c>
      <c r="E4" s="19">
        <v>360000000000</v>
      </c>
      <c r="F4" s="19">
        <v>520000000000</v>
      </c>
      <c r="G4" s="19">
        <v>260000000000</v>
      </c>
      <c r="H4" s="19">
        <v>300000000000</v>
      </c>
      <c r="I4" s="19">
        <v>40000000000</v>
      </c>
      <c r="J4" s="19">
        <v>30000000000</v>
      </c>
      <c r="K4" s="19">
        <v>20000000000</v>
      </c>
      <c r="L4" s="58"/>
      <c r="M4" s="20"/>
      <c r="N4" s="20"/>
      <c r="O4" s="15" t="s">
        <v>20</v>
      </c>
    </row>
    <row r="5" spans="1:56">
      <c r="A5" s="17" t="s">
        <v>217</v>
      </c>
      <c r="B5" s="17"/>
      <c r="C5" s="18"/>
      <c r="D5" s="5"/>
      <c r="E5" s="15"/>
      <c r="F5" s="15"/>
      <c r="G5" s="15"/>
      <c r="H5" s="15"/>
      <c r="I5" s="15"/>
      <c r="J5" s="15"/>
      <c r="K5" s="15"/>
      <c r="L5" s="20"/>
      <c r="M5" s="58">
        <f>M21/1000000000</f>
        <v>7.4000000000000001E-8</v>
      </c>
      <c r="N5" s="58">
        <f>N21/1000000000</f>
        <v>2.2424242424242423E-9</v>
      </c>
      <c r="O5" s="46" t="s">
        <v>268</v>
      </c>
      <c r="BD5" s="23"/>
    </row>
    <row r="6" spans="1:56">
      <c r="A6" s="20" t="s">
        <v>237</v>
      </c>
      <c r="B6" s="20"/>
      <c r="C6" s="20"/>
      <c r="D6" s="20"/>
      <c r="E6" s="20"/>
      <c r="F6" s="20"/>
      <c r="G6" s="20"/>
      <c r="H6" s="20"/>
      <c r="I6" s="20"/>
      <c r="J6" s="20"/>
      <c r="K6" s="15"/>
      <c r="L6" s="20"/>
      <c r="M6" s="58">
        <f>M22/1000000000</f>
        <v>1.7390000000000002E-7</v>
      </c>
      <c r="N6" s="58">
        <f>N22/1000000000</f>
        <v>3.8644444444444442E-9</v>
      </c>
      <c r="O6" s="46" t="s">
        <v>236</v>
      </c>
      <c r="AN6" s="59" t="s">
        <v>163</v>
      </c>
    </row>
    <row r="7" spans="1:56">
      <c r="B7" s="8"/>
      <c r="C7" s="8"/>
      <c r="D7" s="8"/>
      <c r="E7" s="8"/>
      <c r="F7" s="8"/>
      <c r="G7" s="8"/>
      <c r="H7" s="8"/>
      <c r="I7" s="8"/>
      <c r="J7" s="8"/>
      <c r="K7" s="8"/>
      <c r="L7" s="8"/>
      <c r="T7" s="49" t="s">
        <v>225</v>
      </c>
      <c r="AN7" t="s">
        <v>239</v>
      </c>
    </row>
    <row r="8" spans="1:56">
      <c r="T8" s="23" t="s">
        <v>226</v>
      </c>
      <c r="AN8" s="13" t="s">
        <v>188</v>
      </c>
      <c r="AO8" s="13" t="s">
        <v>216</v>
      </c>
    </row>
    <row r="9" spans="1:56">
      <c r="T9">
        <v>45</v>
      </c>
      <c r="U9" t="s">
        <v>232</v>
      </c>
      <c r="AN9" s="17" t="s">
        <v>219</v>
      </c>
      <c r="AO9" s="18">
        <f>database_pCi!R27</f>
        <v>4.3335422152318689E-3</v>
      </c>
    </row>
    <row r="10" spans="1:56">
      <c r="B10" s="61" t="s">
        <v>222</v>
      </c>
      <c r="C10" s="62"/>
      <c r="D10" s="62"/>
      <c r="E10" s="62"/>
      <c r="F10" s="62"/>
      <c r="G10" s="62"/>
      <c r="H10" s="62"/>
      <c r="I10" s="62"/>
      <c r="J10" s="62"/>
      <c r="K10" s="62"/>
      <c r="L10" s="63"/>
      <c r="T10" s="23" t="s">
        <v>235</v>
      </c>
      <c r="AN10" s="17" t="s">
        <v>218</v>
      </c>
      <c r="AO10" s="18">
        <f>database_pCi!R29</f>
        <v>1.5297353206103162E-2</v>
      </c>
    </row>
    <row r="11" spans="1:56">
      <c r="A11" s="13" t="s">
        <v>188</v>
      </c>
      <c r="B11" s="13">
        <v>2012</v>
      </c>
      <c r="C11" s="13">
        <v>2013</v>
      </c>
      <c r="D11" s="13">
        <v>2014</v>
      </c>
      <c r="E11" s="13">
        <v>2015</v>
      </c>
      <c r="F11" s="16">
        <v>2016</v>
      </c>
      <c r="G11" s="16">
        <v>2017</v>
      </c>
      <c r="H11" s="16">
        <v>2018</v>
      </c>
      <c r="I11" s="16">
        <v>2019</v>
      </c>
      <c r="J11" s="16">
        <v>2020</v>
      </c>
      <c r="K11" s="16">
        <v>2021</v>
      </c>
      <c r="L11" s="16">
        <v>2022</v>
      </c>
      <c r="M11" s="13" t="s">
        <v>189</v>
      </c>
      <c r="N11" s="13" t="s">
        <v>215</v>
      </c>
      <c r="O11" s="1" t="s">
        <v>4</v>
      </c>
      <c r="T11" t="s">
        <v>233</v>
      </c>
      <c r="U11" t="s">
        <v>234</v>
      </c>
      <c r="AN11" s="17" t="s">
        <v>238</v>
      </c>
      <c r="AO11" s="17">
        <v>29.1</v>
      </c>
      <c r="AP11" t="s">
        <v>261</v>
      </c>
    </row>
    <row r="12" spans="1:56">
      <c r="A12" s="17" t="s">
        <v>219</v>
      </c>
      <c r="B12" s="17"/>
      <c r="C12" s="17"/>
      <c r="D12" s="17">
        <f>ROUND((D3/37000000000)/10^(INT(LOG10((D3/37000000000)))+1),R13)*10^(INT(LOG10((D3/37000000000)))+1)</f>
        <v>44.3</v>
      </c>
      <c r="E12" s="17">
        <f>ROUND((E3/37000000000)/10^(INT(LOG10((E3/37000000000)))+1),R13)*10^(INT(LOG10((E3/37000000000)))+1)</f>
        <v>44.3</v>
      </c>
      <c r="F12" s="17">
        <f>ROUND((F3/37000000000)/10^(INT(LOG10((F3/37000000000)))+1),R13)*10^(INT(LOG10((F3/37000000000)))+1)</f>
        <v>38.9</v>
      </c>
      <c r="G12" s="17">
        <f>ROUND((G3/37000000000)/10^(INT(LOG10((G3/37000000000)))+1),R13)*10^(INT(LOG10((G3/37000000000)))+1)</f>
        <v>34.599999999999994</v>
      </c>
      <c r="H12" s="17">
        <f>ROUND((H3/37000000000)/10^(INT(LOG10((H3/37000000000)))+1),R13)*10^(INT(LOG10((H3/37000000000)))+1)</f>
        <v>35.4</v>
      </c>
      <c r="I12" s="17">
        <f>ROUND((I3/37000000000)/10^(INT(LOG10((I3/37000000000)))+1),R13)*10^(INT(LOG10((I3/37000000000)))+1)</f>
        <v>46.2</v>
      </c>
      <c r="J12" s="17">
        <f>ROUND((J3/37000000000)/10^(INT(LOG10((J3/37000000000)))+1),R13)*10^(INT(LOG10((J3/37000000000)))+1)</f>
        <v>33.5</v>
      </c>
      <c r="K12" s="17">
        <f>ROUND((K3/37000000000)/10^(INT(LOG10((K3/37000000000)))+1),R13)*10^(INT(LOG10((K3/37000000000)))+1)</f>
        <v>28.1</v>
      </c>
      <c r="L12" s="17">
        <f>ROUND((L3/37000000000)/10^(INT(LOG10((L3/37000000000)))+1),R13)*10^(INT(LOG10((L3/37000000000)))+1)</f>
        <v>32.4</v>
      </c>
      <c r="M12" s="15"/>
      <c r="N12" s="20">
        <f>ROUND((AVERAGE(D12:L12))/10^(INT(LOG10((AVERAGE(D12:L12))))+1),R13)*10^(INT(LOG10((AVERAGE(D12:L12))))+1)</f>
        <v>37.5</v>
      </c>
      <c r="O12" s="15" t="s">
        <v>17</v>
      </c>
      <c r="R12" t="s">
        <v>195</v>
      </c>
      <c r="T12">
        <v>4.7</v>
      </c>
      <c r="U12">
        <f>T12*37</f>
        <v>173.9</v>
      </c>
      <c r="AN12" s="17" t="s">
        <v>237</v>
      </c>
      <c r="AO12" s="18">
        <v>1.6200000000000001E-5</v>
      </c>
      <c r="AP12" t="s">
        <v>262</v>
      </c>
    </row>
    <row r="13" spans="1:56" ht="14.5" customHeight="1">
      <c r="A13" s="17" t="s">
        <v>218</v>
      </c>
      <c r="B13" s="17">
        <f>ROUND((B4/37000000000)/10^(INT(LOG10((B4/37000000000)))+1),R13)*10^(INT(LOG10((B4/37000000000)))+1)</f>
        <v>5.68</v>
      </c>
      <c r="C13" s="17">
        <f>ROUND((C4/37000000000)/10^(INT(LOG10((C4/37000000000)))+1),R13)*10^(INT(LOG10((C4/37000000000)))+1)</f>
        <v>7.84</v>
      </c>
      <c r="D13" s="17">
        <f>ROUND((D4/37000000000)/10^(INT(LOG10((D4/37000000000)))+1),R13)*10^(INT(LOG10((D4/37000000000)))+1)</f>
        <v>9.73</v>
      </c>
      <c r="E13" s="17">
        <f>ROUND((E4/37000000000)/10^(INT(LOG10((E4/37000000000)))+1),R13)*10^(INT(LOG10((E4/37000000000)))+1)</f>
        <v>9.73</v>
      </c>
      <c r="F13" s="17">
        <f>ROUND((F4/37000000000)/10^(INT(LOG10((F4/37000000000)))+1),R13)*10^(INT(LOG10((F4/37000000000)))+1)</f>
        <v>14.099999999999998</v>
      </c>
      <c r="G13" s="17">
        <f>ROUND((G4/37000000000)/10^(INT(LOG10((G4/37000000000)))+1),R13)*10^(INT(LOG10((G4/37000000000)))+1)</f>
        <v>7.0299999999999994</v>
      </c>
      <c r="H13" s="17">
        <f>ROUND((H4/37000000000)/10^(INT(LOG10((H4/37000000000)))+1),R13)*10^(INT(LOG10((H4/37000000000)))+1)</f>
        <v>8.1100000000000012</v>
      </c>
      <c r="I13" s="17">
        <f>ROUND((I4/37000000000)/10^(INT(LOG10((I4/37000000000)))+1),R13)*10^(INT(LOG10((I4/37000000000)))+1)</f>
        <v>1.08</v>
      </c>
      <c r="J13" s="17">
        <f>ROUND((J4/37000000000)/10^(INT(LOG10((J4/37000000000)))+1),R13)*10^(INT(LOG10((J4/37000000000)))+1)</f>
        <v>0.81100000000000005</v>
      </c>
      <c r="K13" s="17">
        <f>ROUND((K4/37000000000)/10^(INT(LOG10((K4/37000000000)))+1),R13)*10^(INT(LOG10((K4/37000000000)))+1)</f>
        <v>0.54100000000000004</v>
      </c>
      <c r="L13" s="17"/>
      <c r="M13" s="15"/>
      <c r="N13" s="20">
        <f>ROUND((AVERAGE(B13:K13))/10^(INT(LOG10((AVERAGE(B13:K13))))+1),R13)*10^(INT(LOG10((AVERAGE(B13:K13))))+1)</f>
        <v>6.4700000000000006</v>
      </c>
      <c r="O13" s="15" t="s">
        <v>20</v>
      </c>
      <c r="R13">
        <v>3</v>
      </c>
      <c r="T13" t="s">
        <v>228</v>
      </c>
      <c r="U13" t="s">
        <v>230</v>
      </c>
    </row>
    <row r="14" spans="1:56">
      <c r="A14" s="17" t="s">
        <v>217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5">
        <v>2</v>
      </c>
      <c r="N14" s="38">
        <f>M14/(C45+E45)</f>
        <v>6.0606060606060608E-2</v>
      </c>
      <c r="O14" s="15" t="s">
        <v>268</v>
      </c>
      <c r="T14" s="23" t="s">
        <v>229</v>
      </c>
    </row>
    <row r="15" spans="1:56">
      <c r="T15">
        <v>67</v>
      </c>
      <c r="AN15" t="s">
        <v>258</v>
      </c>
    </row>
    <row r="16" spans="1:56">
      <c r="T16" t="s">
        <v>227</v>
      </c>
      <c r="U16" t="s">
        <v>231</v>
      </c>
      <c r="AN16" s="13" t="s">
        <v>188</v>
      </c>
      <c r="AO16" s="13" t="s">
        <v>216</v>
      </c>
    </row>
    <row r="17" spans="1:42">
      <c r="A17" s="39"/>
      <c r="B17" s="66" t="s">
        <v>224</v>
      </c>
      <c r="C17" s="67"/>
      <c r="D17" s="67"/>
      <c r="E17" s="67"/>
      <c r="F17" s="67"/>
      <c r="G17" s="67"/>
      <c r="H17" s="67"/>
      <c r="I17" s="67"/>
      <c r="J17" s="67"/>
      <c r="K17" s="67"/>
      <c r="L17" s="68"/>
      <c r="M17" s="64" t="s">
        <v>251</v>
      </c>
      <c r="N17" s="64" t="s">
        <v>252</v>
      </c>
      <c r="O17" s="39"/>
      <c r="AN17" t="s">
        <v>219</v>
      </c>
      <c r="AO17" s="2">
        <f>AO9</f>
        <v>4.3335422152318689E-3</v>
      </c>
    </row>
    <row r="18" spans="1:42">
      <c r="A18" s="40" t="s">
        <v>188</v>
      </c>
      <c r="B18" s="40">
        <v>2012</v>
      </c>
      <c r="C18" s="40">
        <v>2013</v>
      </c>
      <c r="D18" s="40">
        <v>2014</v>
      </c>
      <c r="E18" s="40">
        <v>2015</v>
      </c>
      <c r="F18" s="41">
        <v>2016</v>
      </c>
      <c r="G18" s="41">
        <v>2017</v>
      </c>
      <c r="H18" s="41">
        <v>2018</v>
      </c>
      <c r="I18" s="41">
        <v>2019</v>
      </c>
      <c r="J18" s="41">
        <v>2020</v>
      </c>
      <c r="K18" s="41">
        <v>2021</v>
      </c>
      <c r="L18" s="41">
        <v>2022</v>
      </c>
      <c r="M18" s="65"/>
      <c r="N18" s="65"/>
      <c r="O18" s="42" t="s">
        <v>223</v>
      </c>
      <c r="AN18" t="s">
        <v>218</v>
      </c>
      <c r="AO18" s="2">
        <f>AO10</f>
        <v>1.5297353206103162E-2</v>
      </c>
    </row>
    <row r="19" spans="1:42">
      <c r="A19" s="43" t="s">
        <v>190</v>
      </c>
      <c r="B19" s="44"/>
      <c r="C19" s="44"/>
      <c r="D19" s="44">
        <f t="shared" ref="D19:L19" si="0">D3/1000000000</f>
        <v>1640</v>
      </c>
      <c r="E19" s="44">
        <f t="shared" si="0"/>
        <v>1640</v>
      </c>
      <c r="F19" s="44">
        <f t="shared" si="0"/>
        <v>1440</v>
      </c>
      <c r="G19" s="44">
        <f t="shared" si="0"/>
        <v>1280</v>
      </c>
      <c r="H19" s="44">
        <f t="shared" si="0"/>
        <v>1310</v>
      </c>
      <c r="I19" s="44">
        <f t="shared" si="0"/>
        <v>1710</v>
      </c>
      <c r="J19" s="44">
        <f t="shared" si="0"/>
        <v>1240</v>
      </c>
      <c r="K19" s="44">
        <f t="shared" si="0"/>
        <v>1040</v>
      </c>
      <c r="L19" s="44">
        <f t="shared" si="0"/>
        <v>1200</v>
      </c>
      <c r="M19" s="46"/>
      <c r="N19" s="45">
        <f>AVERAGE(D19:L19)</f>
        <v>1388.8888888888889</v>
      </c>
      <c r="O19" s="46" t="s">
        <v>17</v>
      </c>
      <c r="AN19" t="s">
        <v>238</v>
      </c>
      <c r="AO19">
        <v>215</v>
      </c>
    </row>
    <row r="20" spans="1:42">
      <c r="A20" s="43" t="s">
        <v>37</v>
      </c>
      <c r="B20" s="44">
        <f t="shared" ref="B20:K20" si="1">B4/1000000000</f>
        <v>210</v>
      </c>
      <c r="C20" s="44">
        <f t="shared" si="1"/>
        <v>290</v>
      </c>
      <c r="D20" s="44">
        <f t="shared" si="1"/>
        <v>360</v>
      </c>
      <c r="E20" s="44">
        <f t="shared" si="1"/>
        <v>360</v>
      </c>
      <c r="F20" s="44">
        <f t="shared" si="1"/>
        <v>520</v>
      </c>
      <c r="G20" s="44">
        <f t="shared" si="1"/>
        <v>260</v>
      </c>
      <c r="H20" s="44">
        <f t="shared" si="1"/>
        <v>300</v>
      </c>
      <c r="I20" s="44">
        <f t="shared" si="1"/>
        <v>40</v>
      </c>
      <c r="J20" s="44">
        <f t="shared" si="1"/>
        <v>30</v>
      </c>
      <c r="K20" s="44">
        <f t="shared" si="1"/>
        <v>20</v>
      </c>
      <c r="L20" s="46"/>
      <c r="M20" s="46"/>
      <c r="N20" s="45">
        <f>AVERAGE(B20:K20)</f>
        <v>239</v>
      </c>
      <c r="O20" s="46" t="s">
        <v>20</v>
      </c>
      <c r="AN20" t="s">
        <v>255</v>
      </c>
      <c r="AO20">
        <v>1.36</v>
      </c>
    </row>
    <row r="21" spans="1:42">
      <c r="A21" s="43" t="s">
        <v>19</v>
      </c>
      <c r="B21" s="47">
        <v>2.2424242424242422</v>
      </c>
      <c r="C21" s="47">
        <v>2.2424242424242422</v>
      </c>
      <c r="D21" s="47">
        <v>2.2424242424242422</v>
      </c>
      <c r="E21" s="47">
        <v>2.2424242424242422</v>
      </c>
      <c r="F21" s="47">
        <v>2.2424242424242422</v>
      </c>
      <c r="G21" s="47">
        <v>2.2424242424242422</v>
      </c>
      <c r="H21" s="47">
        <v>2.2424242424242422</v>
      </c>
      <c r="I21" s="47">
        <v>2.2424242424242422</v>
      </c>
      <c r="J21" s="47">
        <v>2.2424242424242422</v>
      </c>
      <c r="K21" s="47">
        <v>2.2424242424242422</v>
      </c>
      <c r="L21" s="47">
        <v>2.2424242424242422</v>
      </c>
      <c r="M21" s="46">
        <v>74</v>
      </c>
      <c r="N21" s="48">
        <f>M21/(C45+E45)</f>
        <v>2.2424242424242422</v>
      </c>
      <c r="O21" s="46" t="s">
        <v>268</v>
      </c>
      <c r="AN21" t="s">
        <v>237</v>
      </c>
      <c r="AO21" s="2">
        <f>AO12</f>
        <v>1.6200000000000001E-5</v>
      </c>
    </row>
    <row r="22" spans="1:42">
      <c r="A22" s="43" t="s">
        <v>225</v>
      </c>
      <c r="B22" s="50">
        <v>3.8644444444444446</v>
      </c>
      <c r="C22" s="50">
        <v>3.8644444444444446</v>
      </c>
      <c r="D22" s="50">
        <v>3.8644444444444446</v>
      </c>
      <c r="E22" s="50">
        <v>3.8644444444444446</v>
      </c>
      <c r="F22" s="50">
        <v>3.8644444444444446</v>
      </c>
      <c r="G22" s="50">
        <v>3.8644444444444446</v>
      </c>
      <c r="H22" s="50">
        <v>3.8644444444444446</v>
      </c>
      <c r="I22" s="50">
        <v>3.8644444444444446</v>
      </c>
      <c r="J22" s="50">
        <v>3.8644444444444446</v>
      </c>
      <c r="K22" s="50">
        <v>3.8644444444444446</v>
      </c>
      <c r="L22" s="50">
        <v>3.8644444444444446</v>
      </c>
      <c r="M22" s="50">
        <f>U12</f>
        <v>173.9</v>
      </c>
      <c r="N22" s="51">
        <f>M22/T9</f>
        <v>3.8644444444444446</v>
      </c>
      <c r="O22" s="46" t="s">
        <v>236</v>
      </c>
    </row>
    <row r="23" spans="1:42">
      <c r="N23" s="57" t="s">
        <v>256</v>
      </c>
    </row>
    <row r="27" spans="1:42">
      <c r="AN27" s="59" t="s">
        <v>271</v>
      </c>
    </row>
    <row r="28" spans="1:42">
      <c r="B28" t="s">
        <v>263</v>
      </c>
      <c r="AN28" t="s">
        <v>239</v>
      </c>
    </row>
    <row r="29" spans="1:42">
      <c r="B29" s="3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6"/>
      <c r="AN29" s="13" t="s">
        <v>188</v>
      </c>
      <c r="AO29" s="13" t="s">
        <v>270</v>
      </c>
    </row>
    <row r="30" spans="1:42">
      <c r="B30" s="14"/>
      <c r="C30" t="s">
        <v>257</v>
      </c>
      <c r="V30" s="27"/>
      <c r="AN30" s="17" t="s">
        <v>219</v>
      </c>
      <c r="AO30" s="18">
        <f>AO9*AL$32</f>
        <v>1.6034106196357914E-4</v>
      </c>
    </row>
    <row r="31" spans="1:42">
      <c r="B31" s="14"/>
      <c r="C31" s="24" t="s">
        <v>201</v>
      </c>
      <c r="D31" s="3"/>
      <c r="E31" s="25" t="s">
        <v>202</v>
      </c>
      <c r="F31" s="3"/>
      <c r="G31" s="26"/>
      <c r="V31" s="27"/>
      <c r="AL31" t="s">
        <v>269</v>
      </c>
      <c r="AN31" s="17" t="s">
        <v>218</v>
      </c>
      <c r="AO31" s="18">
        <f>AO10*AL$32</f>
        <v>5.6600206862581696E-4</v>
      </c>
    </row>
    <row r="32" spans="1:42">
      <c r="B32" s="14"/>
      <c r="C32" s="14">
        <v>86400</v>
      </c>
      <c r="E32" s="2">
        <v>31540000</v>
      </c>
      <c r="G32" s="27"/>
      <c r="V32" s="27"/>
      <c r="AL32" s="2">
        <v>3.6999999999999998E-2</v>
      </c>
      <c r="AN32" s="17" t="s">
        <v>238</v>
      </c>
      <c r="AO32" s="18">
        <f>AO11*AL$32</f>
        <v>1.0767</v>
      </c>
      <c r="AP32" t="s">
        <v>261</v>
      </c>
    </row>
    <row r="33" spans="2:42">
      <c r="B33" s="14"/>
      <c r="C33" s="28" t="s">
        <v>203</v>
      </c>
      <c r="E33" s="23" t="s">
        <v>204</v>
      </c>
      <c r="G33" s="27"/>
      <c r="V33" s="27"/>
      <c r="AN33" s="17" t="s">
        <v>237</v>
      </c>
      <c r="AO33" s="18">
        <f>AO12*AL$32</f>
        <v>5.9940000000000003E-7</v>
      </c>
      <c r="AP33" t="s">
        <v>262</v>
      </c>
    </row>
    <row r="34" spans="2:42">
      <c r="B34" s="14"/>
      <c r="C34" s="14">
        <v>2.8780000000000001</v>
      </c>
      <c r="E34">
        <v>0.70599999999999996</v>
      </c>
      <c r="G34" s="27"/>
      <c r="V34" s="27"/>
    </row>
    <row r="35" spans="2:42">
      <c r="B35" s="14"/>
      <c r="C35" s="28" t="s">
        <v>199</v>
      </c>
      <c r="E35" s="23" t="s">
        <v>200</v>
      </c>
      <c r="G35" s="27"/>
      <c r="V35" s="27"/>
    </row>
    <row r="36" spans="2:42">
      <c r="B36" s="14"/>
      <c r="C36" s="14">
        <f>8*C32</f>
        <v>691200</v>
      </c>
      <c r="E36" s="2">
        <f>15700000*E32</f>
        <v>495178000000000</v>
      </c>
      <c r="G36" s="27"/>
      <c r="M36" s="61" t="s">
        <v>196</v>
      </c>
      <c r="N36" s="62"/>
      <c r="O36" s="62"/>
      <c r="P36" s="62"/>
      <c r="Q36" s="62"/>
      <c r="R36" s="62"/>
      <c r="V36" s="27"/>
      <c r="AN36" t="s">
        <v>258</v>
      </c>
    </row>
    <row r="37" spans="2:42">
      <c r="B37" s="14"/>
      <c r="C37" s="28" t="s">
        <v>197</v>
      </c>
      <c r="E37" s="23" t="s">
        <v>198</v>
      </c>
      <c r="G37" s="27"/>
      <c r="L37" s="13" t="s">
        <v>188</v>
      </c>
      <c r="M37" s="16">
        <v>2019</v>
      </c>
      <c r="N37" s="13">
        <v>2020</v>
      </c>
      <c r="O37" s="16">
        <v>2021</v>
      </c>
      <c r="P37" s="16">
        <v>2022</v>
      </c>
      <c r="Q37" s="1" t="s">
        <v>192</v>
      </c>
      <c r="R37" s="1" t="s">
        <v>4</v>
      </c>
      <c r="V37" s="27"/>
      <c r="AN37" s="13" t="s">
        <v>188</v>
      </c>
      <c r="AO37" s="13" t="s">
        <v>270</v>
      </c>
    </row>
    <row r="38" spans="2:42">
      <c r="B38" s="14"/>
      <c r="C38" s="14">
        <f>LN(2)/C36</f>
        <v>1.0028171015045505E-6</v>
      </c>
      <c r="E38">
        <f t="shared" ref="E38" si="2">LN(2)/E36</f>
        <v>1.3997939742071442E-15</v>
      </c>
      <c r="G38" s="27"/>
      <c r="L38" s="5" t="s">
        <v>190</v>
      </c>
      <c r="M38" s="15">
        <f>609432*1000</f>
        <v>609432000</v>
      </c>
      <c r="N38" s="15">
        <f>648878*1000</f>
        <v>648878000</v>
      </c>
      <c r="O38" s="15">
        <f>594044*1000</f>
        <v>594044000</v>
      </c>
      <c r="P38" s="15">
        <f>564227*1000</f>
        <v>564227000</v>
      </c>
      <c r="Q38" s="21">
        <f>AVERAGE(M38:P38)</f>
        <v>604145250</v>
      </c>
      <c r="R38" s="15" t="s">
        <v>17</v>
      </c>
      <c r="V38" s="27"/>
      <c r="AN38" s="17" t="s">
        <v>219</v>
      </c>
      <c r="AO38" s="58">
        <f>AO17*AL$32</f>
        <v>1.6034106196357914E-4</v>
      </c>
    </row>
    <row r="39" spans="2:42">
      <c r="B39" s="14"/>
      <c r="C39" s="28" t="s">
        <v>208</v>
      </c>
      <c r="G39" s="27"/>
      <c r="L39" s="5" t="s">
        <v>19</v>
      </c>
      <c r="M39" s="15"/>
      <c r="N39" s="15"/>
      <c r="O39" s="15"/>
      <c r="P39" s="15"/>
      <c r="Q39" s="15">
        <f>1000*411*365</f>
        <v>150015000</v>
      </c>
      <c r="R39" s="15" t="s">
        <v>193</v>
      </c>
      <c r="V39" s="27"/>
      <c r="AN39" s="17" t="s">
        <v>218</v>
      </c>
      <c r="AO39" s="58">
        <f t="shared" ref="AO39:AO42" si="3">AO18*AL$32</f>
        <v>5.6600206862581696E-4</v>
      </c>
    </row>
    <row r="40" spans="2:42">
      <c r="B40" s="14"/>
      <c r="C40" s="14">
        <f>(E38/C38)*(E34/C34)</f>
        <v>3.4241777388416722E-10</v>
      </c>
      <c r="G40" s="27"/>
      <c r="V40" s="27"/>
      <c r="AN40" s="17" t="s">
        <v>238</v>
      </c>
      <c r="AO40" s="58">
        <f t="shared" si="3"/>
        <v>7.9549999999999992</v>
      </c>
    </row>
    <row r="41" spans="2:42">
      <c r="B41" s="14"/>
      <c r="C41" s="28" t="s">
        <v>209</v>
      </c>
      <c r="G41" s="27"/>
      <c r="V41" s="27"/>
      <c r="AN41" s="17" t="s">
        <v>255</v>
      </c>
      <c r="AO41" s="58">
        <f t="shared" si="3"/>
        <v>5.0320000000000004E-2</v>
      </c>
    </row>
    <row r="42" spans="2:42">
      <c r="B42" s="14"/>
      <c r="C42" s="14">
        <v>100</v>
      </c>
      <c r="D42" t="s">
        <v>206</v>
      </c>
      <c r="E42">
        <v>200</v>
      </c>
      <c r="F42" t="s">
        <v>206</v>
      </c>
      <c r="G42" s="27"/>
      <c r="M42" s="61" t="s">
        <v>194</v>
      </c>
      <c r="N42" s="62"/>
      <c r="O42" s="62"/>
      <c r="P42" s="62"/>
      <c r="Q42" s="62"/>
      <c r="R42" s="62"/>
      <c r="V42" s="27"/>
      <c r="AN42" s="17" t="s">
        <v>237</v>
      </c>
      <c r="AO42" s="58">
        <f t="shared" si="3"/>
        <v>5.9940000000000003E-7</v>
      </c>
    </row>
    <row r="43" spans="2:42">
      <c r="B43" s="14"/>
      <c r="C43" s="29">
        <f>EXP(-C38*(100*C32))</f>
        <v>1.7263349150062191E-4</v>
      </c>
      <c r="D43" s="2"/>
      <c r="E43" s="2">
        <f>EXP(-C38*(200*C32))</f>
        <v>2.9802322387695299E-8</v>
      </c>
      <c r="G43" s="27"/>
      <c r="L43" s="13" t="s">
        <v>188</v>
      </c>
      <c r="M43" s="16">
        <v>2019</v>
      </c>
      <c r="N43" s="13">
        <v>2020</v>
      </c>
      <c r="O43" s="16">
        <v>2021</v>
      </c>
      <c r="P43" s="16">
        <v>2022</v>
      </c>
      <c r="Q43" s="16" t="s">
        <v>192</v>
      </c>
      <c r="R43" s="1" t="s">
        <v>211</v>
      </c>
      <c r="V43" s="27"/>
    </row>
    <row r="44" spans="2:42">
      <c r="B44" s="14"/>
      <c r="C44" s="28" t="s">
        <v>205</v>
      </c>
      <c r="G44" s="27"/>
      <c r="L44" s="5" t="s">
        <v>190</v>
      </c>
      <c r="M44" s="22">
        <f>1000000*I12/M38</f>
        <v>7.5808293624227155E-2</v>
      </c>
      <c r="N44" s="22">
        <f>1000000*J12/N38</f>
        <v>5.1627578681971036E-2</v>
      </c>
      <c r="O44" s="22">
        <f>1000000*K12/O38</f>
        <v>4.7302893388368537E-2</v>
      </c>
      <c r="P44" s="22">
        <f>1000000*L12/P38</f>
        <v>5.7423696490951338E-2</v>
      </c>
      <c r="Q44" s="33">
        <f>ROUND((AVERAGE(M44:P44))/10^(INT(LOG10((AVERAGE(M44:P44))))+1),R13)*10^(INT(LOG10((AVERAGE(M44:P44))))+1)</f>
        <v>5.7999999999999996E-2</v>
      </c>
      <c r="R44" s="5"/>
      <c r="V44" s="27"/>
    </row>
    <row r="45" spans="2:42">
      <c r="B45" s="14"/>
      <c r="C45" s="14">
        <v>10</v>
      </c>
      <c r="E45">
        <v>23</v>
      </c>
      <c r="G45" s="27"/>
      <c r="L45" s="5" t="s">
        <v>19</v>
      </c>
      <c r="M45" s="22"/>
      <c r="N45" s="22"/>
      <c r="O45" s="22"/>
      <c r="P45" s="22"/>
      <c r="Q45" s="34">
        <f>1000000*M14/(Q39*(C45+E45))</f>
        <v>4.0400000404000006E-4</v>
      </c>
      <c r="R45" s="35">
        <f>C40*C49/E43</f>
        <v>176.94036220457014</v>
      </c>
      <c r="V45" s="27"/>
    </row>
    <row r="46" spans="2:42">
      <c r="B46" s="14"/>
      <c r="C46" s="32" t="s">
        <v>207</v>
      </c>
      <c r="G46" s="27"/>
      <c r="V46" s="27"/>
    </row>
    <row r="47" spans="2:42">
      <c r="B47" s="14"/>
      <c r="C47" s="29">
        <f>(C43*C45+E43*E45)/(C45+E45)</f>
        <v>5.2333950558216248E-5</v>
      </c>
      <c r="G47" s="27"/>
      <c r="V47" s="27"/>
    </row>
    <row r="48" spans="2:42">
      <c r="B48" s="14"/>
      <c r="C48" s="28" t="s">
        <v>210</v>
      </c>
      <c r="G48" s="27"/>
      <c r="V48" s="27"/>
    </row>
    <row r="49" spans="2:22">
      <c r="B49" s="14"/>
      <c r="C49" s="14">
        <v>15400</v>
      </c>
      <c r="G49" s="27"/>
      <c r="V49" s="27"/>
    </row>
    <row r="50" spans="2:22">
      <c r="B50" s="14"/>
      <c r="C50" s="28" t="s">
        <v>212</v>
      </c>
      <c r="G50" s="27"/>
      <c r="V50" s="27"/>
    </row>
    <row r="51" spans="2:22">
      <c r="B51" s="14"/>
      <c r="C51" s="29">
        <f>C49*C40/C47</f>
        <v>0.10076123934022971</v>
      </c>
      <c r="G51" s="27"/>
      <c r="V51" s="27"/>
    </row>
    <row r="52" spans="2:22">
      <c r="B52" s="14"/>
      <c r="C52" s="28" t="s">
        <v>213</v>
      </c>
      <c r="G52" s="27"/>
      <c r="V52" s="27"/>
    </row>
    <row r="53" spans="2:22">
      <c r="B53" s="14"/>
      <c r="C53" s="30">
        <f>C40*C49/E43</f>
        <v>176.94036220457014</v>
      </c>
      <c r="D53" s="7"/>
      <c r="E53" s="7"/>
      <c r="F53" s="7"/>
      <c r="G53" s="31"/>
      <c r="V53" s="27"/>
    </row>
    <row r="54" spans="2:22">
      <c r="B54" s="3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31"/>
    </row>
  </sheetData>
  <mergeCells count="7">
    <mergeCell ref="B1:L1"/>
    <mergeCell ref="B10:L10"/>
    <mergeCell ref="M42:R42"/>
    <mergeCell ref="M36:R36"/>
    <mergeCell ref="M17:M18"/>
    <mergeCell ref="N17:N18"/>
    <mergeCell ref="B17:L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F203-319B-4E64-9229-58E6D245C4E5}">
  <dimension ref="A1:CP331"/>
  <sheetViews>
    <sheetView topLeftCell="Q1" zoomScaleNormal="11" workbookViewId="0">
      <selection activeCell="T24" sqref="T24"/>
    </sheetView>
  </sheetViews>
  <sheetFormatPr baseColWidth="10" defaultColWidth="8.83203125" defaultRowHeight="15"/>
  <cols>
    <col min="1" max="1" width="14.1640625" bestFit="1" customWidth="1"/>
    <col min="2" max="2" width="6.83203125" bestFit="1" customWidth="1"/>
    <col min="3" max="3" width="31.1640625" bestFit="1" customWidth="1"/>
    <col min="4" max="4" width="10.83203125" bestFit="1" customWidth="1"/>
    <col min="5" max="5" width="22.33203125" bestFit="1" customWidth="1"/>
    <col min="6" max="6" width="14.6640625" bestFit="1" customWidth="1"/>
    <col min="7" max="7" width="8.83203125" style="2" bestFit="1" customWidth="1"/>
    <col min="8" max="8" width="9.5" style="2" bestFit="1" customWidth="1"/>
    <col min="9" max="9" width="9.1640625" style="2" bestFit="1" customWidth="1"/>
    <col min="10" max="10" width="3.83203125" bestFit="1" customWidth="1"/>
    <col min="11" max="11" width="5.1640625" bestFit="1" customWidth="1"/>
    <col min="12" max="12" width="23.6640625" bestFit="1" customWidth="1"/>
    <col min="13" max="13" width="9.1640625" bestFit="1" customWidth="1"/>
    <col min="16" max="16" width="8.83203125" bestFit="1" customWidth="1"/>
    <col min="18" max="18" width="23" customWidth="1"/>
    <col min="23" max="23" width="10.6640625" customWidth="1"/>
    <col min="24" max="29" width="8.6640625" customWidth="1"/>
    <col min="30" max="30" width="8.6640625" style="2" customWidth="1"/>
    <col min="31" max="31" width="8.6640625" customWidth="1"/>
    <col min="32" max="32" width="15.5" bestFit="1" customWidth="1"/>
    <col min="33" max="33" width="5.1640625" customWidth="1"/>
    <col min="34" max="34" width="12.1640625" style="2" bestFit="1" customWidth="1"/>
    <col min="35" max="35" width="10.83203125" bestFit="1" customWidth="1"/>
    <col min="36" max="36" width="12.1640625" bestFit="1" customWidth="1"/>
    <col min="37" max="37" width="9.6640625" bestFit="1" customWidth="1"/>
    <col min="38" max="38" width="10.6640625" bestFit="1" customWidth="1"/>
    <col min="39" max="39" width="12.1640625" bestFit="1" customWidth="1"/>
    <col min="40" max="40" width="9.6640625" bestFit="1" customWidth="1"/>
    <col min="41" max="41" width="10.6640625" bestFit="1" customWidth="1"/>
    <col min="42" max="42" width="11.83203125" bestFit="1" customWidth="1"/>
    <col min="43" max="43" width="9.33203125" bestFit="1" customWidth="1"/>
    <col min="44" max="44" width="10.83203125" bestFit="1" customWidth="1"/>
    <col min="45" max="45" width="12" bestFit="1" customWidth="1"/>
    <col min="46" max="46" width="9" bestFit="1" customWidth="1"/>
    <col min="47" max="47" width="11.1640625" bestFit="1" customWidth="1"/>
    <col min="48" max="48" width="11.6640625" bestFit="1" customWidth="1"/>
    <col min="49" max="49" width="12.1640625" bestFit="1" customWidth="1"/>
    <col min="50" max="50" width="10.33203125" bestFit="1" customWidth="1"/>
    <col min="51" max="53" width="12.1640625" bestFit="1" customWidth="1"/>
    <col min="54" max="54" width="10.6640625" bestFit="1" customWidth="1"/>
    <col min="55" max="56" width="12.1640625" bestFit="1" customWidth="1"/>
    <col min="57" max="57" width="11.1640625" bestFit="1" customWidth="1"/>
    <col min="58" max="58" width="12.1640625" bestFit="1" customWidth="1"/>
    <col min="59" max="59" width="12.33203125" bestFit="1" customWidth="1"/>
    <col min="60" max="60" width="12.1640625" bestFit="1" customWidth="1"/>
    <col min="61" max="61" width="11.1640625" bestFit="1" customWidth="1"/>
    <col min="62" max="62" width="10.6640625" bestFit="1" customWidth="1"/>
    <col min="63" max="63" width="10.83203125" bestFit="1" customWidth="1"/>
    <col min="64" max="64" width="12.1640625" bestFit="1" customWidth="1"/>
    <col min="65" max="65" width="11.1640625" bestFit="1" customWidth="1"/>
    <col min="66" max="66" width="12.1640625" bestFit="1" customWidth="1"/>
    <col min="67" max="67" width="12" bestFit="1" customWidth="1"/>
    <col min="68" max="68" width="12.33203125" bestFit="1" customWidth="1"/>
    <col min="69" max="70" width="10.83203125" bestFit="1" customWidth="1"/>
    <col min="71" max="71" width="9.1640625" bestFit="1" customWidth="1"/>
    <col min="72" max="72" width="15.83203125" bestFit="1" customWidth="1"/>
    <col min="73" max="73" width="11.1640625" bestFit="1" customWidth="1"/>
    <col min="74" max="74" width="9.83203125" bestFit="1" customWidth="1"/>
    <col min="75" max="75" width="12.1640625" bestFit="1" customWidth="1"/>
    <col min="76" max="76" width="13.6640625" bestFit="1" customWidth="1"/>
    <col min="77" max="77" width="15.5" bestFit="1" customWidth="1"/>
    <col min="78" max="78" width="10.83203125" bestFit="1" customWidth="1"/>
    <col min="79" max="79" width="9.83203125" bestFit="1" customWidth="1"/>
    <col min="81" max="81" width="9" bestFit="1" customWidth="1"/>
    <col min="82" max="82" width="8.83203125" bestFit="1" customWidth="1"/>
    <col min="83" max="83" width="9" bestFit="1" customWidth="1"/>
    <col min="84" max="84" width="13.5" bestFit="1" customWidth="1"/>
    <col min="85" max="85" width="9.33203125" bestFit="1" customWidth="1"/>
    <col min="86" max="86" width="14.33203125" bestFit="1" customWidth="1"/>
    <col min="87" max="87" width="9.83203125" bestFit="1" customWidth="1"/>
    <col min="88" max="94" width="8.83203125" bestFit="1" customWidth="1"/>
    <col min="95" max="95" width="13.5" bestFit="1" customWidth="1"/>
    <col min="96" max="96" width="12.6640625" bestFit="1" customWidth="1"/>
    <col min="97" max="97" width="13.6640625" bestFit="1" customWidth="1"/>
  </cols>
  <sheetData>
    <row r="1" spans="1:36">
      <c r="A1" s="1" t="s">
        <v>186</v>
      </c>
      <c r="B1" s="1" t="s">
        <v>12</v>
      </c>
      <c r="C1" s="1" t="s">
        <v>0</v>
      </c>
      <c r="D1" s="1" t="s">
        <v>253</v>
      </c>
      <c r="E1" s="1" t="s">
        <v>1</v>
      </c>
      <c r="F1" s="1" t="s">
        <v>2</v>
      </c>
      <c r="G1" s="9" t="s">
        <v>79</v>
      </c>
      <c r="H1" s="9" t="s">
        <v>77</v>
      </c>
      <c r="I1" s="9" t="s">
        <v>78</v>
      </c>
      <c r="J1" s="1" t="s">
        <v>80</v>
      </c>
      <c r="K1" s="1" t="s">
        <v>3</v>
      </c>
      <c r="L1" s="1" t="s">
        <v>4</v>
      </c>
      <c r="M1" s="8"/>
    </row>
    <row r="2" spans="1:36">
      <c r="A2" t="s">
        <v>13</v>
      </c>
      <c r="B2" t="s">
        <v>13</v>
      </c>
      <c r="C2" t="s">
        <v>30</v>
      </c>
      <c r="E2" s="52">
        <v>1997</v>
      </c>
      <c r="F2" t="s">
        <v>32</v>
      </c>
      <c r="H2" s="2">
        <v>0.43243243243243246</v>
      </c>
      <c r="K2" t="s">
        <v>163</v>
      </c>
      <c r="L2" t="s">
        <v>21</v>
      </c>
    </row>
    <row r="3" spans="1:36">
      <c r="A3" s="3" t="s">
        <v>13</v>
      </c>
      <c r="B3" s="3" t="s">
        <v>13</v>
      </c>
      <c r="C3" s="3" t="s">
        <v>27</v>
      </c>
      <c r="D3" s="3"/>
      <c r="E3" s="53">
        <v>2021</v>
      </c>
      <c r="F3" s="3" t="s">
        <v>93</v>
      </c>
      <c r="G3" s="4"/>
      <c r="H3" s="4">
        <v>2.4324324324324325</v>
      </c>
      <c r="I3" s="4"/>
      <c r="J3" s="3">
        <v>4</v>
      </c>
      <c r="K3" s="3" t="s">
        <v>163</v>
      </c>
      <c r="L3" s="3" t="s">
        <v>17</v>
      </c>
    </row>
    <row r="4" spans="1:36">
      <c r="A4" t="s">
        <v>13</v>
      </c>
      <c r="B4" t="s">
        <v>13</v>
      </c>
      <c r="C4" t="s">
        <v>28</v>
      </c>
      <c r="E4" s="52">
        <v>2021</v>
      </c>
      <c r="F4" t="s">
        <v>93</v>
      </c>
      <c r="H4" s="2">
        <v>2.4324324324324325</v>
      </c>
      <c r="J4">
        <v>4</v>
      </c>
      <c r="K4" t="s">
        <v>163</v>
      </c>
      <c r="L4" t="s">
        <v>17</v>
      </c>
    </row>
    <row r="5" spans="1:36">
      <c r="A5" t="s">
        <v>13</v>
      </c>
      <c r="B5" t="s">
        <v>13</v>
      </c>
      <c r="C5" t="s">
        <v>29</v>
      </c>
      <c r="E5" s="52">
        <v>2021</v>
      </c>
      <c r="F5" t="s">
        <v>93</v>
      </c>
      <c r="H5" s="2">
        <v>2.4324324324324325</v>
      </c>
      <c r="J5">
        <v>4</v>
      </c>
      <c r="K5" t="s">
        <v>163</v>
      </c>
      <c r="L5" t="s">
        <v>17</v>
      </c>
    </row>
    <row r="6" spans="1:36">
      <c r="A6" t="s">
        <v>13</v>
      </c>
      <c r="B6" t="s">
        <v>13</v>
      </c>
      <c r="C6" t="s">
        <v>30</v>
      </c>
      <c r="E6" s="52">
        <v>2021</v>
      </c>
      <c r="F6" t="s">
        <v>94</v>
      </c>
      <c r="H6" s="2">
        <v>0</v>
      </c>
      <c r="J6">
        <v>4</v>
      </c>
      <c r="K6" t="s">
        <v>163</v>
      </c>
      <c r="L6" t="s">
        <v>17</v>
      </c>
    </row>
    <row r="7" spans="1:36">
      <c r="A7" t="s">
        <v>13</v>
      </c>
      <c r="B7" t="s">
        <v>13</v>
      </c>
      <c r="C7" t="s">
        <v>31</v>
      </c>
      <c r="E7" s="52">
        <v>2021</v>
      </c>
      <c r="F7" t="s">
        <v>94</v>
      </c>
      <c r="H7" s="2">
        <v>0.27027027027027029</v>
      </c>
      <c r="J7">
        <v>12</v>
      </c>
      <c r="K7" t="s">
        <v>163</v>
      </c>
      <c r="L7" t="s">
        <v>17</v>
      </c>
    </row>
    <row r="8" spans="1:36">
      <c r="A8" t="s">
        <v>13</v>
      </c>
      <c r="B8" t="s">
        <v>13</v>
      </c>
      <c r="C8" t="s">
        <v>5</v>
      </c>
      <c r="E8" s="52">
        <v>2021</v>
      </c>
      <c r="F8" t="s">
        <v>32</v>
      </c>
      <c r="H8" s="2">
        <v>2.4324324324324325</v>
      </c>
      <c r="J8">
        <v>12</v>
      </c>
      <c r="K8" t="s">
        <v>163</v>
      </c>
      <c r="L8" t="s">
        <v>17</v>
      </c>
    </row>
    <row r="9" spans="1:36">
      <c r="A9" t="s">
        <v>13</v>
      </c>
      <c r="B9" t="s">
        <v>13</v>
      </c>
      <c r="C9" t="s">
        <v>33</v>
      </c>
      <c r="E9" s="52">
        <v>2021</v>
      </c>
      <c r="F9" t="s">
        <v>32</v>
      </c>
      <c r="H9" s="2">
        <v>2.7027027027027031</v>
      </c>
      <c r="J9">
        <v>52</v>
      </c>
      <c r="K9" t="s">
        <v>163</v>
      </c>
      <c r="L9" t="s">
        <v>17</v>
      </c>
    </row>
    <row r="10" spans="1:36">
      <c r="A10" t="s">
        <v>13</v>
      </c>
      <c r="B10" t="s">
        <v>13</v>
      </c>
      <c r="C10" t="s">
        <v>34</v>
      </c>
      <c r="E10" s="52">
        <v>2021</v>
      </c>
      <c r="F10" t="s">
        <v>32</v>
      </c>
      <c r="H10" s="2">
        <v>2.4324324324324325</v>
      </c>
      <c r="J10">
        <v>52</v>
      </c>
      <c r="K10" t="s">
        <v>163</v>
      </c>
      <c r="L10" t="s">
        <v>17</v>
      </c>
    </row>
    <row r="11" spans="1:36">
      <c r="A11" t="s">
        <v>13</v>
      </c>
      <c r="B11" t="s">
        <v>13</v>
      </c>
      <c r="C11" t="s">
        <v>35</v>
      </c>
      <c r="E11" s="52">
        <v>2021</v>
      </c>
      <c r="F11" t="s">
        <v>32</v>
      </c>
      <c r="H11" s="2">
        <v>2.4324324324324325</v>
      </c>
      <c r="J11">
        <v>52</v>
      </c>
      <c r="K11" t="s">
        <v>163</v>
      </c>
      <c r="L11" t="s">
        <v>17</v>
      </c>
      <c r="W11">
        <f>LN(2)/(15700000*31540000)</f>
        <v>1.3997939742071442E-15</v>
      </c>
    </row>
    <row r="12" spans="1:36">
      <c r="A12" s="3" t="s">
        <v>13</v>
      </c>
      <c r="B12" s="3" t="s">
        <v>13</v>
      </c>
      <c r="C12" s="3" t="s">
        <v>27</v>
      </c>
      <c r="D12" s="3"/>
      <c r="E12" s="53">
        <v>2022</v>
      </c>
      <c r="F12" s="3" t="s">
        <v>93</v>
      </c>
      <c r="G12" s="4"/>
      <c r="H12" s="4">
        <v>2.4324324324324325</v>
      </c>
      <c r="I12" s="4"/>
      <c r="J12" s="3">
        <v>4</v>
      </c>
      <c r="K12" s="3" t="s">
        <v>163</v>
      </c>
      <c r="L12" s="3" t="s">
        <v>17</v>
      </c>
      <c r="R12" s="31" t="s">
        <v>248</v>
      </c>
      <c r="S12" s="7" t="s">
        <v>249</v>
      </c>
      <c r="T12" s="7" t="s">
        <v>250</v>
      </c>
      <c r="U12" s="7" t="s">
        <v>80</v>
      </c>
      <c r="W12" t="s">
        <v>272</v>
      </c>
      <c r="X12" t="s">
        <v>273</v>
      </c>
      <c r="Z12" t="s">
        <v>190</v>
      </c>
      <c r="AA12" t="s">
        <v>37</v>
      </c>
      <c r="AB12" t="s">
        <v>19</v>
      </c>
      <c r="AD12" s="2" t="s">
        <v>275</v>
      </c>
      <c r="AE12" t="s">
        <v>276</v>
      </c>
      <c r="AF12" t="s">
        <v>274</v>
      </c>
      <c r="AH12" s="2" t="s">
        <v>80</v>
      </c>
    </row>
    <row r="13" spans="1:36">
      <c r="A13" t="s">
        <v>13</v>
      </c>
      <c r="B13" t="s">
        <v>13</v>
      </c>
      <c r="C13" t="s">
        <v>28</v>
      </c>
      <c r="E13" s="52">
        <v>2022</v>
      </c>
      <c r="F13" t="s">
        <v>93</v>
      </c>
      <c r="H13" s="2">
        <v>2.4324324324324325</v>
      </c>
      <c r="J13">
        <v>4</v>
      </c>
      <c r="K13" t="s">
        <v>163</v>
      </c>
      <c r="L13" t="s">
        <v>17</v>
      </c>
      <c r="R13" s="27" t="s">
        <v>74</v>
      </c>
      <c r="S13" s="2">
        <f>AVERAGE(G98:G103,G104:G131,G132:G137,G261:G268,G271)</f>
        <v>6.3484342592274659E-3</v>
      </c>
      <c r="T13" s="2">
        <f>MAX(G98:G103,G104:G131,G132:G137,G261:G268,G271)</f>
        <v>2.2783783783783786E-2</v>
      </c>
      <c r="U13">
        <f>COUNT(G98:G103,G104:G131,G132:G137,G261:G268,G271)</f>
        <v>49</v>
      </c>
      <c r="W13" s="2">
        <f>S13/1000000000000*37000000000/$W$11/6.02E+23*128.904984*1000000000</f>
        <v>3.5931673862433927E-2</v>
      </c>
      <c r="X13" s="2">
        <f>T13/1000000000000*37000000000/$W$11/6.02E+23*128.904984*1000000000</f>
        <v>0.12895455081403828</v>
      </c>
      <c r="Z13">
        <v>1</v>
      </c>
      <c r="AD13" s="2">
        <f>$U13*$S13*Z13</f>
        <v>0.31107327870214585</v>
      </c>
      <c r="AE13" s="2">
        <f t="shared" ref="AE13:AF13" si="0">$U13*$S13*AA13</f>
        <v>0</v>
      </c>
      <c r="AF13" s="2">
        <f t="shared" si="0"/>
        <v>0</v>
      </c>
      <c r="AH13" s="2">
        <f>$U13*Z13</f>
        <v>49</v>
      </c>
      <c r="AI13" s="2">
        <f t="shared" ref="AI13:AJ13" si="1">$U13*AA13</f>
        <v>0</v>
      </c>
      <c r="AJ13" s="2">
        <f t="shared" si="1"/>
        <v>0</v>
      </c>
    </row>
    <row r="14" spans="1:36">
      <c r="A14" t="s">
        <v>13</v>
      </c>
      <c r="B14" t="s">
        <v>13</v>
      </c>
      <c r="C14" t="s">
        <v>29</v>
      </c>
      <c r="E14" s="52">
        <v>2022</v>
      </c>
      <c r="F14" t="s">
        <v>93</v>
      </c>
      <c r="H14" s="2">
        <v>2.4324324324324325</v>
      </c>
      <c r="J14">
        <v>4</v>
      </c>
      <c r="K14" t="s">
        <v>163</v>
      </c>
      <c r="L14" t="s">
        <v>17</v>
      </c>
      <c r="R14" s="27" t="s">
        <v>136</v>
      </c>
      <c r="S14" s="2">
        <f>AVERAGE(G89:G95,G154:G174,G212:G248,G272,G275:G284)</f>
        <v>1.737664090271111E-3</v>
      </c>
      <c r="T14" s="2">
        <f>MAX(G89:G95,G154:G174,G212:G248,G272,G275:G284)</f>
        <v>1.0384907799380234E-2</v>
      </c>
      <c r="U14">
        <f>COUNT(G89:G95,G154:G174,G212:G248,G272,G275:G284)</f>
        <v>76</v>
      </c>
      <c r="W14" s="2">
        <f t="shared" ref="W14:X23" si="2">S14/1000000000000*37000000000/$W$11/6.02E+23*128.904984*1000000000</f>
        <v>9.8350517347378826E-3</v>
      </c>
      <c r="X14" s="2">
        <f t="shared" si="2"/>
        <v>5.8777819049855747E-2</v>
      </c>
      <c r="Z14">
        <v>1</v>
      </c>
      <c r="AA14">
        <v>1</v>
      </c>
      <c r="AD14" s="2">
        <f t="shared" ref="AD14:AD21" si="3">$U14*$S14*Z14</f>
        <v>0.13206247086060444</v>
      </c>
      <c r="AE14" s="2">
        <f>$U14*$S14*AA14</f>
        <v>0.13206247086060444</v>
      </c>
      <c r="AF14" s="2">
        <f t="shared" ref="AF14:AF21" si="4">$U14*$S14*AB14</f>
        <v>0</v>
      </c>
      <c r="AH14" s="2">
        <f t="shared" ref="AH14:AH21" si="5">$U14*Z14</f>
        <v>76</v>
      </c>
      <c r="AI14" s="2">
        <f t="shared" ref="AI14:AI21" si="6">$U14*AA14</f>
        <v>76</v>
      </c>
      <c r="AJ14" s="2">
        <f t="shared" ref="AJ14:AJ21" si="7">$U14*AB14</f>
        <v>0</v>
      </c>
    </row>
    <row r="15" spans="1:36">
      <c r="A15" t="s">
        <v>13</v>
      </c>
      <c r="B15" t="s">
        <v>13</v>
      </c>
      <c r="C15" t="s">
        <v>30</v>
      </c>
      <c r="E15" s="52">
        <v>2022</v>
      </c>
      <c r="F15" t="s">
        <v>94</v>
      </c>
      <c r="H15" s="2">
        <v>0</v>
      </c>
      <c r="J15">
        <v>4</v>
      </c>
      <c r="K15" t="s">
        <v>163</v>
      </c>
      <c r="L15" t="s">
        <v>17</v>
      </c>
      <c r="R15" s="27" t="s">
        <v>246</v>
      </c>
      <c r="S15" s="2">
        <f>AVERAGE(G139:G153,G249:G260,G281:G284)</f>
        <v>7.201860368562585E-3</v>
      </c>
      <c r="T15" s="2">
        <f>MAX(G139:G153,G249:G260,G281:G284)</f>
        <v>1.3635868367772227E-2</v>
      </c>
      <c r="U15">
        <f>COUNT(G139:G153,G249:G260,G281:G284)</f>
        <v>31</v>
      </c>
      <c r="W15" s="2">
        <f t="shared" si="2"/>
        <v>4.0762003259283808E-2</v>
      </c>
      <c r="X15" s="2">
        <f t="shared" si="2"/>
        <v>7.7178018234923568E-2</v>
      </c>
      <c r="Z15">
        <v>1</v>
      </c>
      <c r="AA15">
        <v>1</v>
      </c>
      <c r="AD15" s="2">
        <f t="shared" si="3"/>
        <v>0.22325767142544015</v>
      </c>
      <c r="AE15" s="2">
        <f t="shared" ref="AE15:AE21" si="8">$U15*$S15*AA15</f>
        <v>0.22325767142544015</v>
      </c>
      <c r="AF15" s="2">
        <f t="shared" si="4"/>
        <v>0</v>
      </c>
      <c r="AH15" s="2">
        <f t="shared" si="5"/>
        <v>31</v>
      </c>
      <c r="AI15" s="2">
        <f t="shared" si="6"/>
        <v>31</v>
      </c>
      <c r="AJ15" s="2">
        <f t="shared" si="7"/>
        <v>0</v>
      </c>
    </row>
    <row r="16" spans="1:36">
      <c r="A16" t="s">
        <v>13</v>
      </c>
      <c r="B16" t="s">
        <v>13</v>
      </c>
      <c r="C16" t="s">
        <v>31</v>
      </c>
      <c r="E16" s="52">
        <v>2022</v>
      </c>
      <c r="F16" t="s">
        <v>94</v>
      </c>
      <c r="H16" s="2">
        <v>0.27027027027027029</v>
      </c>
      <c r="J16">
        <v>12</v>
      </c>
      <c r="K16" t="s">
        <v>163</v>
      </c>
      <c r="L16" t="s">
        <v>17</v>
      </c>
      <c r="R16" s="27" t="s">
        <v>37</v>
      </c>
      <c r="S16" s="2">
        <f>AVERAGE(G37:G39,G45:G88,G96:G97)</f>
        <v>4.3608522995630054E-2</v>
      </c>
      <c r="T16" s="2">
        <f>MAX(G37:G39,G45:G88,G96:G97)</f>
        <v>0.81081081081081086</v>
      </c>
      <c r="U16">
        <f>COUNT(G37:G39,G45:G88,G96:G97)</f>
        <v>49</v>
      </c>
      <c r="W16" s="2">
        <f t="shared" si="2"/>
        <v>0.24682105254912204</v>
      </c>
      <c r="X16" s="2">
        <f t="shared" si="2"/>
        <v>4.5891299222077677</v>
      </c>
      <c r="AA16">
        <v>1</v>
      </c>
      <c r="AD16" s="2">
        <f t="shared" si="3"/>
        <v>0</v>
      </c>
      <c r="AE16" s="2">
        <f t="shared" si="8"/>
        <v>2.1368176267858727</v>
      </c>
      <c r="AF16" s="2">
        <f t="shared" si="4"/>
        <v>0</v>
      </c>
      <c r="AH16" s="2">
        <f t="shared" si="5"/>
        <v>0</v>
      </c>
      <c r="AI16" s="2">
        <f t="shared" si="6"/>
        <v>49</v>
      </c>
      <c r="AJ16" s="2">
        <f t="shared" si="7"/>
        <v>0</v>
      </c>
    </row>
    <row r="17" spans="1:36">
      <c r="A17" t="s">
        <v>13</v>
      </c>
      <c r="B17" t="s">
        <v>13</v>
      </c>
      <c r="C17" t="s">
        <v>5</v>
      </c>
      <c r="E17" s="52">
        <v>2022</v>
      </c>
      <c r="F17" t="s">
        <v>32</v>
      </c>
      <c r="H17" s="2">
        <v>2.4324324324324325</v>
      </c>
      <c r="J17">
        <v>12</v>
      </c>
      <c r="K17" t="s">
        <v>163</v>
      </c>
      <c r="L17" t="s">
        <v>17</v>
      </c>
      <c r="R17" s="27" t="s">
        <v>214</v>
      </c>
      <c r="S17" s="2">
        <f>AVERAGE(G76:G88)</f>
        <v>2.8467327766516183E-3</v>
      </c>
      <c r="T17" s="2">
        <f>MAX(G76:G88)</f>
        <v>7.1502989493283861E-3</v>
      </c>
      <c r="U17">
        <f>COUNT(G76:G88)</f>
        <v>13</v>
      </c>
      <c r="W17" s="2">
        <f t="shared" si="2"/>
        <v>1.6112299431229233E-2</v>
      </c>
      <c r="X17" s="2">
        <f t="shared" si="2"/>
        <v>4.0470169395348837E-2</v>
      </c>
      <c r="AA17">
        <v>1</v>
      </c>
      <c r="AD17" s="2">
        <f t="shared" si="3"/>
        <v>0</v>
      </c>
      <c r="AE17" s="2">
        <f t="shared" si="8"/>
        <v>3.7007526096471038E-2</v>
      </c>
      <c r="AF17" s="2">
        <f t="shared" si="4"/>
        <v>0</v>
      </c>
      <c r="AH17" s="2">
        <f t="shared" si="5"/>
        <v>0</v>
      </c>
      <c r="AI17" s="2">
        <f t="shared" si="6"/>
        <v>13</v>
      </c>
      <c r="AJ17" s="2">
        <f t="shared" si="7"/>
        <v>0</v>
      </c>
    </row>
    <row r="18" spans="1:36">
      <c r="A18" t="s">
        <v>13</v>
      </c>
      <c r="B18" t="s">
        <v>13</v>
      </c>
      <c r="C18" t="s">
        <v>33</v>
      </c>
      <c r="E18" s="52">
        <v>2022</v>
      </c>
      <c r="F18" t="s">
        <v>32</v>
      </c>
      <c r="H18" s="2">
        <v>2.4324324324324325</v>
      </c>
      <c r="J18">
        <v>52</v>
      </c>
      <c r="K18" t="s">
        <v>163</v>
      </c>
      <c r="L18" t="s">
        <v>17</v>
      </c>
      <c r="R18" s="27" t="s">
        <v>184</v>
      </c>
      <c r="S18" s="2">
        <f>AVERAGE(G175:G210)</f>
        <v>1.3734898404488864E-3</v>
      </c>
      <c r="T18" s="2">
        <f>MAX(G175:G210)</f>
        <v>2.6113652994068377E-2</v>
      </c>
      <c r="U18">
        <f>COUNT(G175:G210)</f>
        <v>36</v>
      </c>
      <c r="W18" s="2">
        <f t="shared" si="2"/>
        <v>7.7738521004045739E-3</v>
      </c>
      <c r="X18" s="2">
        <f t="shared" si="2"/>
        <v>0.14780136714431658</v>
      </c>
      <c r="AA18">
        <v>1</v>
      </c>
      <c r="AD18" s="2">
        <f t="shared" si="3"/>
        <v>0</v>
      </c>
      <c r="AE18" s="2">
        <f t="shared" si="8"/>
        <v>4.9445634256159908E-2</v>
      </c>
      <c r="AF18" s="2">
        <f t="shared" si="4"/>
        <v>0</v>
      </c>
      <c r="AH18" s="2">
        <f t="shared" si="5"/>
        <v>0</v>
      </c>
      <c r="AI18" s="2">
        <f t="shared" si="6"/>
        <v>36</v>
      </c>
      <c r="AJ18" s="2">
        <f t="shared" si="7"/>
        <v>0</v>
      </c>
    </row>
    <row r="19" spans="1:36">
      <c r="A19" t="s">
        <v>13</v>
      </c>
      <c r="B19" t="s">
        <v>13</v>
      </c>
      <c r="C19" t="s">
        <v>34</v>
      </c>
      <c r="E19" s="52">
        <v>2022</v>
      </c>
      <c r="F19" t="s">
        <v>32</v>
      </c>
      <c r="H19" s="2">
        <v>2.4324324324324325</v>
      </c>
      <c r="J19">
        <v>52</v>
      </c>
      <c r="K19" t="s">
        <v>163</v>
      </c>
      <c r="L19" t="s">
        <v>17</v>
      </c>
      <c r="R19" s="27" t="s">
        <v>185</v>
      </c>
      <c r="S19" s="2">
        <f>G211</f>
        <v>1.1550216662238068E-5</v>
      </c>
      <c r="T19" s="2">
        <f>H211</f>
        <v>1.6690030391861092E-4</v>
      </c>
      <c r="U19">
        <f>J211</f>
        <v>33</v>
      </c>
      <c r="W19" s="2">
        <f t="shared" si="2"/>
        <v>6.5373382034279983E-5</v>
      </c>
      <c r="X19" s="2">
        <f t="shared" si="2"/>
        <v>9.4464352044411023E-4</v>
      </c>
      <c r="AD19" s="2">
        <f t="shared" si="3"/>
        <v>0</v>
      </c>
      <c r="AE19" s="2">
        <f t="shared" si="8"/>
        <v>0</v>
      </c>
      <c r="AF19" s="2">
        <f t="shared" si="4"/>
        <v>0</v>
      </c>
      <c r="AH19" s="2">
        <f t="shared" si="5"/>
        <v>0</v>
      </c>
      <c r="AI19" s="2">
        <f t="shared" si="6"/>
        <v>0</v>
      </c>
      <c r="AJ19" s="2">
        <f t="shared" si="7"/>
        <v>0</v>
      </c>
    </row>
    <row r="20" spans="1:36">
      <c r="A20" t="s">
        <v>13</v>
      </c>
      <c r="B20" t="s">
        <v>13</v>
      </c>
      <c r="C20" t="s">
        <v>35</v>
      </c>
      <c r="E20" s="52">
        <v>2022</v>
      </c>
      <c r="F20" t="s">
        <v>32</v>
      </c>
      <c r="H20" s="2">
        <v>2.4324324324324325</v>
      </c>
      <c r="J20">
        <v>52</v>
      </c>
      <c r="K20" t="s">
        <v>163</v>
      </c>
      <c r="L20" t="s">
        <v>17</v>
      </c>
      <c r="R20" s="27" t="s">
        <v>247</v>
      </c>
      <c r="S20">
        <v>215</v>
      </c>
      <c r="T20" s="2">
        <v>828</v>
      </c>
      <c r="U20">
        <v>131</v>
      </c>
      <c r="W20" s="2">
        <f t="shared" si="2"/>
        <v>1216.8842843720929</v>
      </c>
      <c r="X20" s="2">
        <f t="shared" si="2"/>
        <v>4686.4194765585726</v>
      </c>
      <c r="AB20">
        <v>1</v>
      </c>
      <c r="AD20" s="2">
        <f t="shared" si="3"/>
        <v>0</v>
      </c>
      <c r="AE20" s="2">
        <f t="shared" si="8"/>
        <v>0</v>
      </c>
      <c r="AF20" s="2">
        <f t="shared" si="4"/>
        <v>28165</v>
      </c>
      <c r="AH20" s="2">
        <f t="shared" si="5"/>
        <v>0</v>
      </c>
      <c r="AI20" s="2">
        <f t="shared" si="6"/>
        <v>0</v>
      </c>
      <c r="AJ20" s="2">
        <f t="shared" si="7"/>
        <v>131</v>
      </c>
    </row>
    <row r="21" spans="1:36">
      <c r="A21" s="3" t="s">
        <v>14</v>
      </c>
      <c r="B21" s="3" t="s">
        <v>14</v>
      </c>
      <c r="C21" s="3" t="s">
        <v>36</v>
      </c>
      <c r="D21" s="3"/>
      <c r="E21" s="53">
        <v>2016</v>
      </c>
      <c r="F21" s="3" t="s">
        <v>9</v>
      </c>
      <c r="G21" s="4"/>
      <c r="H21" s="4">
        <v>0.81081081081081086</v>
      </c>
      <c r="I21" s="4"/>
      <c r="J21" s="3"/>
      <c r="K21" s="3" t="s">
        <v>163</v>
      </c>
      <c r="L21" s="3" t="s">
        <v>40</v>
      </c>
      <c r="R21" s="27" t="s">
        <v>259</v>
      </c>
      <c r="S21">
        <v>1.36</v>
      </c>
      <c r="T21">
        <v>10.1</v>
      </c>
      <c r="U21">
        <v>1435</v>
      </c>
      <c r="W21" s="2">
        <f t="shared" si="2"/>
        <v>7.697500589516495</v>
      </c>
      <c r="X21" s="2">
        <f t="shared" si="2"/>
        <v>57.165261730968091</v>
      </c>
      <c r="AB21">
        <v>1</v>
      </c>
      <c r="AD21" s="2">
        <f t="shared" si="3"/>
        <v>0</v>
      </c>
      <c r="AE21" s="2">
        <f t="shared" si="8"/>
        <v>0</v>
      </c>
      <c r="AF21" s="2">
        <f t="shared" si="4"/>
        <v>1951.6000000000001</v>
      </c>
      <c r="AH21" s="2">
        <f t="shared" si="5"/>
        <v>0</v>
      </c>
      <c r="AI21" s="2">
        <f t="shared" si="6"/>
        <v>0</v>
      </c>
      <c r="AJ21" s="2">
        <f t="shared" si="7"/>
        <v>1435</v>
      </c>
    </row>
    <row r="22" spans="1:36">
      <c r="A22" t="s">
        <v>14</v>
      </c>
      <c r="B22" t="s">
        <v>14</v>
      </c>
      <c r="C22" t="s">
        <v>37</v>
      </c>
      <c r="E22" s="52">
        <v>2016</v>
      </c>
      <c r="F22" t="s">
        <v>9</v>
      </c>
      <c r="H22" s="2">
        <v>0.81081081081081086</v>
      </c>
      <c r="K22" t="s">
        <v>163</v>
      </c>
      <c r="L22" t="s">
        <v>40</v>
      </c>
      <c r="R22" s="27" t="s">
        <v>260</v>
      </c>
      <c r="S22">
        <v>19.2</v>
      </c>
      <c r="T22">
        <v>828</v>
      </c>
      <c r="U22">
        <v>1566</v>
      </c>
      <c r="W22" s="2">
        <f t="shared" si="2"/>
        <v>108.67059655787992</v>
      </c>
      <c r="X22" s="2">
        <f t="shared" si="2"/>
        <v>4686.4194765585726</v>
      </c>
    </row>
    <row r="23" spans="1:36">
      <c r="A23" t="s">
        <v>14</v>
      </c>
      <c r="B23" t="s">
        <v>14</v>
      </c>
      <c r="C23" t="s">
        <v>38</v>
      </c>
      <c r="E23" s="52">
        <v>2016</v>
      </c>
      <c r="F23" t="s">
        <v>9</v>
      </c>
      <c r="H23" s="2">
        <v>0.81081081081081086</v>
      </c>
      <c r="K23" t="s">
        <v>163</v>
      </c>
      <c r="L23" t="s">
        <v>40</v>
      </c>
      <c r="S23" s="60">
        <v>7.8999999999999996E-5</v>
      </c>
      <c r="W23" s="2">
        <f t="shared" si="2"/>
        <v>4.4713422542044351E-4</v>
      </c>
    </row>
    <row r="24" spans="1:36">
      <c r="A24" t="s">
        <v>14</v>
      </c>
      <c r="B24" t="s">
        <v>14</v>
      </c>
      <c r="C24" t="s">
        <v>39</v>
      </c>
      <c r="E24" s="52">
        <v>2016</v>
      </c>
      <c r="F24" t="s">
        <v>9</v>
      </c>
      <c r="H24" s="2">
        <v>0.81081081081081086</v>
      </c>
      <c r="K24" t="s">
        <v>163</v>
      </c>
      <c r="L24" t="s">
        <v>40</v>
      </c>
      <c r="AD24" s="2">
        <f>SUM(AD13:AD21)/SUM(AH13:AH21)</f>
        <v>4.2717526986422467E-3</v>
      </c>
      <c r="AE24" s="2">
        <f t="shared" ref="AE24" si="9">SUM(AE13:AE21)/SUM(AI13:AI21)</f>
        <v>1.2578492338656332E-2</v>
      </c>
      <c r="AF24" s="2">
        <f>SUM(AF13:AF21)/SUM(AJ13:AJ21)</f>
        <v>19.23154533844189</v>
      </c>
    </row>
    <row r="25" spans="1:36">
      <c r="A25" s="3" t="s">
        <v>14</v>
      </c>
      <c r="B25" s="3" t="s">
        <v>14</v>
      </c>
      <c r="C25" s="3" t="s">
        <v>36</v>
      </c>
      <c r="D25" s="3"/>
      <c r="E25" s="53">
        <v>2017</v>
      </c>
      <c r="F25" s="3" t="s">
        <v>9</v>
      </c>
      <c r="G25" s="4"/>
      <c r="H25" s="4">
        <v>0.81081081081081086</v>
      </c>
      <c r="I25" s="4"/>
      <c r="J25" s="3"/>
      <c r="K25" s="3" t="s">
        <v>163</v>
      </c>
      <c r="L25" s="3" t="s">
        <v>20</v>
      </c>
    </row>
    <row r="26" spans="1:36">
      <c r="A26" t="s">
        <v>14</v>
      </c>
      <c r="B26" t="s">
        <v>14</v>
      </c>
      <c r="C26" t="s">
        <v>37</v>
      </c>
      <c r="E26" s="52">
        <v>2017</v>
      </c>
      <c r="F26" t="s">
        <v>9</v>
      </c>
      <c r="H26" s="2">
        <v>0.54054054054054057</v>
      </c>
      <c r="K26" t="s">
        <v>163</v>
      </c>
      <c r="L26" t="s">
        <v>20</v>
      </c>
      <c r="R26" s="2" t="s">
        <v>243</v>
      </c>
    </row>
    <row r="27" spans="1:36">
      <c r="A27" t="s">
        <v>14</v>
      </c>
      <c r="B27" t="s">
        <v>14</v>
      </c>
      <c r="C27" t="s">
        <v>38</v>
      </c>
      <c r="E27" s="52">
        <v>2017</v>
      </c>
      <c r="F27" t="s">
        <v>9</v>
      </c>
      <c r="H27" s="2">
        <v>0.54054054054054057</v>
      </c>
      <c r="K27" t="s">
        <v>163</v>
      </c>
      <c r="L27" t="s">
        <v>20</v>
      </c>
      <c r="R27" s="2">
        <f>AVERAGE(G89:G95,G98:G174,G212:G272,G275:G284)</f>
        <v>4.3335422152318689E-3</v>
      </c>
    </row>
    <row r="28" spans="1:36">
      <c r="A28" t="s">
        <v>14</v>
      </c>
      <c r="B28" t="s">
        <v>14</v>
      </c>
      <c r="C28" t="s">
        <v>39</v>
      </c>
      <c r="E28" s="52">
        <v>2017</v>
      </c>
      <c r="F28" t="s">
        <v>9</v>
      </c>
      <c r="H28" s="2">
        <v>0.54054054054054057</v>
      </c>
      <c r="K28" t="s">
        <v>163</v>
      </c>
      <c r="L28" t="s">
        <v>20</v>
      </c>
      <c r="R28" s="2" t="s">
        <v>240</v>
      </c>
      <c r="Y28" s="2"/>
      <c r="AA28" s="2"/>
    </row>
    <row r="29" spans="1:36">
      <c r="A29" s="3" t="s">
        <v>14</v>
      </c>
      <c r="B29" s="3" t="s">
        <v>14</v>
      </c>
      <c r="C29" s="3" t="s">
        <v>36</v>
      </c>
      <c r="D29" s="3"/>
      <c r="E29" s="53">
        <v>2018</v>
      </c>
      <c r="F29" s="3" t="s">
        <v>9</v>
      </c>
      <c r="G29" s="4"/>
      <c r="H29" s="4">
        <v>0.81081081081081086</v>
      </c>
      <c r="I29" s="4"/>
      <c r="J29" s="3"/>
      <c r="K29" s="3" t="s">
        <v>163</v>
      </c>
      <c r="L29" s="3" t="s">
        <v>20</v>
      </c>
      <c r="R29" s="2">
        <f>AVERAGE(G37:G39,G45:G103,G175:G210,G273:G284,G212:G248)</f>
        <v>1.5297353206103162E-2</v>
      </c>
      <c r="Y29" s="2"/>
      <c r="AA29" s="2"/>
    </row>
    <row r="30" spans="1:36">
      <c r="A30" t="s">
        <v>14</v>
      </c>
      <c r="B30" t="s">
        <v>14</v>
      </c>
      <c r="C30" t="s">
        <v>37</v>
      </c>
      <c r="E30" s="52">
        <v>2018</v>
      </c>
      <c r="F30" t="s">
        <v>9</v>
      </c>
      <c r="H30" s="2">
        <v>0.81081081081081086</v>
      </c>
      <c r="K30" t="s">
        <v>163</v>
      </c>
      <c r="L30" t="s">
        <v>20</v>
      </c>
      <c r="R30" s="2" t="s">
        <v>264</v>
      </c>
      <c r="W30" s="8"/>
      <c r="AB30" s="8"/>
      <c r="AC30" s="2"/>
      <c r="AD30"/>
    </row>
    <row r="31" spans="1:36">
      <c r="A31" t="s">
        <v>14</v>
      </c>
      <c r="B31" t="s">
        <v>14</v>
      </c>
      <c r="C31" t="s">
        <v>38</v>
      </c>
      <c r="E31" s="52">
        <v>2018</v>
      </c>
      <c r="F31" t="s">
        <v>9</v>
      </c>
      <c r="H31" s="2">
        <v>0.81081081081081086</v>
      </c>
      <c r="K31" t="s">
        <v>163</v>
      </c>
      <c r="L31" t="s">
        <v>20</v>
      </c>
      <c r="R31" s="2">
        <f>AVERAGE(H2:H20,G89:G95,G98:G103,G104:G174,G212:G272,G275:G284)</f>
        <v>0.20671836977389782</v>
      </c>
      <c r="AB31" s="23"/>
      <c r="AC31" s="2"/>
      <c r="AD31"/>
    </row>
    <row r="32" spans="1:36">
      <c r="A32" t="s">
        <v>14</v>
      </c>
      <c r="B32" t="s">
        <v>14</v>
      </c>
      <c r="C32" t="s">
        <v>39</v>
      </c>
      <c r="E32" s="52">
        <v>2018</v>
      </c>
      <c r="F32" t="s">
        <v>9</v>
      </c>
      <c r="H32" s="2">
        <v>0.81081081081081086</v>
      </c>
      <c r="K32" t="s">
        <v>163</v>
      </c>
      <c r="L32" t="s">
        <v>20</v>
      </c>
      <c r="R32" s="2" t="s">
        <v>265</v>
      </c>
      <c r="AB32" s="8"/>
      <c r="AD32" s="10"/>
    </row>
    <row r="33" spans="1:32">
      <c r="A33" s="3" t="s">
        <v>14</v>
      </c>
      <c r="B33" s="3" t="s">
        <v>14</v>
      </c>
      <c r="C33" s="3" t="s">
        <v>36</v>
      </c>
      <c r="D33" s="3"/>
      <c r="E33" s="53">
        <v>2019</v>
      </c>
      <c r="F33" s="3" t="s">
        <v>9</v>
      </c>
      <c r="G33" s="4"/>
      <c r="H33" s="4">
        <v>0.81081081081081086</v>
      </c>
      <c r="I33" s="4"/>
      <c r="J33" s="3"/>
      <c r="K33" s="3" t="s">
        <v>163</v>
      </c>
      <c r="L33" s="3" t="s">
        <v>20</v>
      </c>
      <c r="R33" s="2">
        <f>AVERAGE(H21:H36,G37:G39,H40:H44,G45:G103,G175:G248,G273:G284)</f>
        <v>0.11085922460355228</v>
      </c>
      <c r="AC33" s="2"/>
      <c r="AD33"/>
      <c r="AE33" s="2"/>
      <c r="AF33" s="2"/>
    </row>
    <row r="34" spans="1:32">
      <c r="A34" t="s">
        <v>14</v>
      </c>
      <c r="B34" t="s">
        <v>14</v>
      </c>
      <c r="C34" t="s">
        <v>37</v>
      </c>
      <c r="E34" s="52">
        <v>2019</v>
      </c>
      <c r="F34" t="s">
        <v>9</v>
      </c>
      <c r="H34" s="2">
        <v>1.0810810810810811</v>
      </c>
      <c r="K34" t="s">
        <v>163</v>
      </c>
      <c r="L34" t="s">
        <v>20</v>
      </c>
      <c r="AC34" s="2"/>
      <c r="AD34"/>
      <c r="AE34" s="2"/>
    </row>
    <row r="35" spans="1:32">
      <c r="A35" t="s">
        <v>14</v>
      </c>
      <c r="B35" t="s">
        <v>14</v>
      </c>
      <c r="C35" t="s">
        <v>38</v>
      </c>
      <c r="E35" s="52">
        <v>2019</v>
      </c>
      <c r="F35" t="s">
        <v>9</v>
      </c>
      <c r="H35" s="2">
        <v>0.81081081081081086</v>
      </c>
      <c r="K35" t="s">
        <v>163</v>
      </c>
      <c r="L35" t="s">
        <v>20</v>
      </c>
      <c r="R35" s="2" t="s">
        <v>244</v>
      </c>
      <c r="AC35" s="2"/>
      <c r="AD35"/>
      <c r="AE35" s="2"/>
    </row>
    <row r="36" spans="1:32">
      <c r="A36" t="s">
        <v>14</v>
      </c>
      <c r="B36" t="s">
        <v>14</v>
      </c>
      <c r="C36" t="s">
        <v>39</v>
      </c>
      <c r="E36" s="52">
        <v>2019</v>
      </c>
      <c r="F36" t="s">
        <v>9</v>
      </c>
      <c r="H36" s="2">
        <v>0.81081081081081086</v>
      </c>
      <c r="K36" t="s">
        <v>163</v>
      </c>
      <c r="L36" t="s">
        <v>20</v>
      </c>
      <c r="R36" s="2">
        <f>MAX(G89:G95,G98:G174,G212:G272,G275:G284)</f>
        <v>2.2783783783783786E-2</v>
      </c>
      <c r="AD36"/>
    </row>
    <row r="37" spans="1:32">
      <c r="A37" s="3" t="s">
        <v>14</v>
      </c>
      <c r="B37" s="3" t="s">
        <v>14</v>
      </c>
      <c r="C37" s="3" t="s">
        <v>36</v>
      </c>
      <c r="D37" s="3"/>
      <c r="E37" s="53">
        <v>2020</v>
      </c>
      <c r="F37" s="3" t="s">
        <v>9</v>
      </c>
      <c r="G37" s="4">
        <v>0.54054054054054057</v>
      </c>
      <c r="H37" s="4"/>
      <c r="I37" s="4"/>
      <c r="J37" s="3"/>
      <c r="K37" s="3" t="s">
        <v>163</v>
      </c>
      <c r="L37" s="3" t="s">
        <v>20</v>
      </c>
      <c r="R37" s="2" t="s">
        <v>241</v>
      </c>
      <c r="W37" s="8"/>
      <c r="Y37" s="2"/>
      <c r="AB37" s="23"/>
      <c r="AC37" s="2"/>
      <c r="AD37"/>
    </row>
    <row r="38" spans="1:32">
      <c r="A38" t="s">
        <v>14</v>
      </c>
      <c r="B38" t="s">
        <v>14</v>
      </c>
      <c r="C38" t="s">
        <v>37</v>
      </c>
      <c r="E38" s="52">
        <v>2020</v>
      </c>
      <c r="F38" t="s">
        <v>9</v>
      </c>
      <c r="G38" s="2">
        <v>0.81081081081081086</v>
      </c>
      <c r="K38" t="s">
        <v>163</v>
      </c>
      <c r="L38" t="s">
        <v>20</v>
      </c>
      <c r="R38" s="2">
        <f>MAX(G37:G39,G45:G103,G175:G210,G273:G284,G212:G248)</f>
        <v>0.81081081081081086</v>
      </c>
      <c r="X38" s="2"/>
      <c r="Y38" s="2"/>
      <c r="AB38" s="8"/>
      <c r="AD38" s="10"/>
    </row>
    <row r="39" spans="1:32">
      <c r="A39" t="s">
        <v>14</v>
      </c>
      <c r="B39" t="s">
        <v>14</v>
      </c>
      <c r="C39" t="s">
        <v>38</v>
      </c>
      <c r="E39" s="52">
        <v>2020</v>
      </c>
      <c r="F39" t="s">
        <v>9</v>
      </c>
      <c r="G39" s="2">
        <v>0.54054054054054057</v>
      </c>
      <c r="K39" t="s">
        <v>163</v>
      </c>
      <c r="L39" t="s">
        <v>20</v>
      </c>
      <c r="R39" s="2"/>
      <c r="X39" s="2"/>
      <c r="Y39" s="2"/>
      <c r="AC39" s="2"/>
      <c r="AD39"/>
      <c r="AE39" s="2"/>
    </row>
    <row r="40" spans="1:32">
      <c r="A40" t="s">
        <v>14</v>
      </c>
      <c r="B40" t="s">
        <v>14</v>
      </c>
      <c r="C40" t="s">
        <v>39</v>
      </c>
      <c r="E40" s="52">
        <v>2020</v>
      </c>
      <c r="F40" t="s">
        <v>9</v>
      </c>
      <c r="H40" s="2">
        <v>0.81081081081081086</v>
      </c>
      <c r="K40" t="s">
        <v>163</v>
      </c>
      <c r="L40" t="s">
        <v>20</v>
      </c>
      <c r="R40" s="2" t="s">
        <v>245</v>
      </c>
      <c r="X40" s="2"/>
      <c r="Y40" s="2"/>
      <c r="AC40" s="2"/>
      <c r="AD40"/>
      <c r="AE40" s="2"/>
    </row>
    <row r="41" spans="1:32">
      <c r="A41" s="3" t="s">
        <v>14</v>
      </c>
      <c r="B41" s="3" t="s">
        <v>14</v>
      </c>
      <c r="C41" s="3" t="s">
        <v>36</v>
      </c>
      <c r="D41" s="3"/>
      <c r="E41" s="53">
        <v>2021</v>
      </c>
      <c r="F41" s="3" t="s">
        <v>9</v>
      </c>
      <c r="G41" s="4"/>
      <c r="H41" s="4">
        <v>0.81081081081081086</v>
      </c>
      <c r="I41" s="4"/>
      <c r="J41" s="3"/>
      <c r="K41" s="3" t="s">
        <v>163</v>
      </c>
      <c r="L41" s="3" t="s">
        <v>20</v>
      </c>
      <c r="R41">
        <f>COUNT(G89:G95,G98:G174,G212:G272,G275:G284)</f>
        <v>155</v>
      </c>
      <c r="Y41" s="2"/>
      <c r="AC41" s="2"/>
      <c r="AD41"/>
      <c r="AE41" s="2"/>
    </row>
    <row r="42" spans="1:32">
      <c r="A42" t="s">
        <v>14</v>
      </c>
      <c r="B42" t="s">
        <v>14</v>
      </c>
      <c r="C42" t="s">
        <v>37</v>
      </c>
      <c r="E42" s="52">
        <v>2021</v>
      </c>
      <c r="F42" t="s">
        <v>9</v>
      </c>
      <c r="H42" s="2">
        <v>0.81081081081081086</v>
      </c>
      <c r="K42" t="s">
        <v>163</v>
      </c>
      <c r="L42" t="s">
        <v>20</v>
      </c>
      <c r="R42" t="s">
        <v>242</v>
      </c>
      <c r="AD42"/>
    </row>
    <row r="43" spans="1:32">
      <c r="A43" t="s">
        <v>14</v>
      </c>
      <c r="B43" t="s">
        <v>14</v>
      </c>
      <c r="C43" t="s">
        <v>38</v>
      </c>
      <c r="E43" s="52">
        <v>2021</v>
      </c>
      <c r="F43" t="s">
        <v>9</v>
      </c>
      <c r="H43" s="2">
        <v>0.81081081081081086</v>
      </c>
      <c r="K43" t="s">
        <v>163</v>
      </c>
      <c r="L43" t="s">
        <v>20</v>
      </c>
      <c r="R43">
        <f>COUNT(G37:G39,G45:G103,G175:G210,G273:G284,G212:G248)</f>
        <v>147</v>
      </c>
      <c r="W43" s="8"/>
      <c r="Y43" s="2"/>
      <c r="AC43" s="2"/>
      <c r="AD43"/>
    </row>
    <row r="44" spans="1:32">
      <c r="A44" t="s">
        <v>14</v>
      </c>
      <c r="B44" t="s">
        <v>14</v>
      </c>
      <c r="C44" t="s">
        <v>39</v>
      </c>
      <c r="E44" s="52">
        <v>2021</v>
      </c>
      <c r="F44" t="s">
        <v>9</v>
      </c>
      <c r="H44" s="2">
        <v>0.81081081081081086</v>
      </c>
      <c r="K44" t="s">
        <v>163</v>
      </c>
      <c r="L44" t="s">
        <v>20</v>
      </c>
      <c r="X44" s="2"/>
      <c r="Y44" s="2"/>
      <c r="AD44"/>
    </row>
    <row r="45" spans="1:32">
      <c r="A45" s="3" t="s">
        <v>14</v>
      </c>
      <c r="B45" s="3" t="s">
        <v>14</v>
      </c>
      <c r="C45" s="3" t="s">
        <v>41</v>
      </c>
      <c r="D45" s="3"/>
      <c r="E45" s="54">
        <v>38047</v>
      </c>
      <c r="F45" s="3" t="s">
        <v>7</v>
      </c>
      <c r="G45" s="4">
        <v>3.4238203963715284E-4</v>
      </c>
      <c r="H45" s="4"/>
      <c r="I45" s="4"/>
      <c r="J45" s="3">
        <v>1</v>
      </c>
      <c r="K45" s="3" t="s">
        <v>163</v>
      </c>
      <c r="L45" s="3" t="s">
        <v>8</v>
      </c>
      <c r="X45" s="2"/>
      <c r="Y45" s="2"/>
      <c r="AB45" s="8"/>
      <c r="AD45" s="10"/>
    </row>
    <row r="46" spans="1:32">
      <c r="A46" t="s">
        <v>14</v>
      </c>
      <c r="B46" t="s">
        <v>14</v>
      </c>
      <c r="C46" t="s">
        <v>41</v>
      </c>
      <c r="E46" s="55">
        <v>38292</v>
      </c>
      <c r="F46" t="s">
        <v>7</v>
      </c>
      <c r="G46" s="2">
        <v>3.8210592268897724E-4</v>
      </c>
      <c r="J46">
        <v>1</v>
      </c>
      <c r="K46" t="s">
        <v>163</v>
      </c>
      <c r="L46" t="s">
        <v>8</v>
      </c>
      <c r="X46" s="2"/>
      <c r="Y46" s="2"/>
      <c r="AC46" s="2"/>
      <c r="AD46"/>
      <c r="AE46" s="2"/>
      <c r="AF46" s="2"/>
    </row>
    <row r="47" spans="1:32">
      <c r="A47" t="s">
        <v>14</v>
      </c>
      <c r="B47" t="s">
        <v>14</v>
      </c>
      <c r="C47" t="s">
        <v>42</v>
      </c>
      <c r="E47" s="55">
        <v>38047</v>
      </c>
      <c r="F47" t="s">
        <v>7</v>
      </c>
      <c r="G47" s="2">
        <v>4.5020400792067616E-4</v>
      </c>
      <c r="J47">
        <v>1</v>
      </c>
      <c r="K47" t="s">
        <v>163</v>
      </c>
      <c r="L47" t="s">
        <v>8</v>
      </c>
      <c r="Y47" s="2"/>
      <c r="AC47" s="2"/>
      <c r="AD47"/>
      <c r="AE47" s="2"/>
    </row>
    <row r="48" spans="1:32">
      <c r="A48" t="s">
        <v>14</v>
      </c>
      <c r="B48" t="s">
        <v>14</v>
      </c>
      <c r="C48" t="s">
        <v>42</v>
      </c>
      <c r="E48" s="55">
        <v>38292</v>
      </c>
      <c r="F48" t="s">
        <v>7</v>
      </c>
      <c r="G48" s="2">
        <v>5.5235113576822454E-4</v>
      </c>
      <c r="J48">
        <v>1</v>
      </c>
      <c r="K48" t="s">
        <v>163</v>
      </c>
      <c r="L48" t="s">
        <v>8</v>
      </c>
      <c r="AC48" s="2"/>
      <c r="AD48"/>
      <c r="AE48" s="2"/>
    </row>
    <row r="49" spans="1:30">
      <c r="A49" t="s">
        <v>14</v>
      </c>
      <c r="B49" t="s">
        <v>14</v>
      </c>
      <c r="C49" t="s">
        <v>43</v>
      </c>
      <c r="E49" s="55">
        <v>38292</v>
      </c>
      <c r="F49" t="s">
        <v>7</v>
      </c>
      <c r="G49" s="2">
        <v>6.05316313170657E-4</v>
      </c>
      <c r="J49">
        <v>1</v>
      </c>
      <c r="K49" t="s">
        <v>163</v>
      </c>
      <c r="L49" t="s">
        <v>8</v>
      </c>
      <c r="W49" s="8"/>
      <c r="Y49" s="2"/>
      <c r="AD49"/>
    </row>
    <row r="50" spans="1:30">
      <c r="A50" t="s">
        <v>14</v>
      </c>
      <c r="B50" t="s">
        <v>14</v>
      </c>
      <c r="C50" t="s">
        <v>43</v>
      </c>
      <c r="E50" s="55">
        <v>38473</v>
      </c>
      <c r="F50" t="s">
        <v>7</v>
      </c>
      <c r="G50" s="2">
        <v>8.9662478888403562E-4</v>
      </c>
      <c r="J50">
        <v>1</v>
      </c>
      <c r="K50" t="s">
        <v>163</v>
      </c>
      <c r="L50" t="s">
        <v>8</v>
      </c>
      <c r="X50" s="2"/>
      <c r="Y50" s="2"/>
    </row>
    <row r="51" spans="1:30">
      <c r="A51" t="s">
        <v>14</v>
      </c>
      <c r="B51" t="s">
        <v>14</v>
      </c>
      <c r="C51" t="s">
        <v>44</v>
      </c>
      <c r="E51" s="55">
        <v>38047</v>
      </c>
      <c r="F51" t="s">
        <v>7</v>
      </c>
      <c r="G51" s="2">
        <v>1.0820029097925493E-3</v>
      </c>
      <c r="J51">
        <v>1</v>
      </c>
      <c r="K51" t="s">
        <v>163</v>
      </c>
      <c r="L51" t="s">
        <v>8</v>
      </c>
      <c r="X51" s="2"/>
      <c r="Y51" s="2"/>
      <c r="AB51" s="8"/>
    </row>
    <row r="52" spans="1:30">
      <c r="A52" t="s">
        <v>14</v>
      </c>
      <c r="B52" t="s">
        <v>14</v>
      </c>
      <c r="C52" t="s">
        <v>44</v>
      </c>
      <c r="E52" s="55">
        <v>38292</v>
      </c>
      <c r="F52" t="s">
        <v>7</v>
      </c>
      <c r="G52" s="2">
        <v>1.278730711573013E-3</v>
      </c>
      <c r="J52">
        <v>1</v>
      </c>
      <c r="K52" t="s">
        <v>163</v>
      </c>
      <c r="L52" t="s">
        <v>8</v>
      </c>
      <c r="X52" s="2"/>
      <c r="Y52" s="2"/>
      <c r="AC52" s="2"/>
    </row>
    <row r="53" spans="1:30">
      <c r="A53" t="s">
        <v>14</v>
      </c>
      <c r="B53" t="s">
        <v>14</v>
      </c>
      <c r="C53" t="s">
        <v>44</v>
      </c>
      <c r="E53" s="55">
        <v>38473</v>
      </c>
      <c r="F53" t="s">
        <v>7</v>
      </c>
      <c r="G53" s="2">
        <v>1.0857861367498662E-3</v>
      </c>
      <c r="J53">
        <v>1</v>
      </c>
      <c r="K53" t="s">
        <v>163</v>
      </c>
      <c r="L53" t="s">
        <v>8</v>
      </c>
      <c r="Y53" s="2"/>
      <c r="AC53" s="2"/>
    </row>
    <row r="54" spans="1:30">
      <c r="A54" t="s">
        <v>14</v>
      </c>
      <c r="B54" t="s">
        <v>14</v>
      </c>
      <c r="C54" t="s">
        <v>45</v>
      </c>
      <c r="E54" s="55">
        <v>38292</v>
      </c>
      <c r="F54" t="s">
        <v>7</v>
      </c>
      <c r="G54" s="2">
        <v>1.6570534073046738E-3</v>
      </c>
      <c r="J54">
        <v>1</v>
      </c>
      <c r="K54" t="s">
        <v>163</v>
      </c>
      <c r="L54" t="s">
        <v>8</v>
      </c>
      <c r="AC54" s="2"/>
    </row>
    <row r="55" spans="1:30">
      <c r="A55" t="s">
        <v>14</v>
      </c>
      <c r="B55" t="s">
        <v>14</v>
      </c>
      <c r="C55" t="s">
        <v>45</v>
      </c>
      <c r="E55" s="55">
        <v>38473</v>
      </c>
      <c r="F55" t="s">
        <v>7</v>
      </c>
      <c r="G55" s="2">
        <v>1.3241294350608121E-3</v>
      </c>
      <c r="J55">
        <v>1</v>
      </c>
      <c r="K55" t="s">
        <v>163</v>
      </c>
      <c r="L55" t="s">
        <v>8</v>
      </c>
      <c r="W55" s="8"/>
      <c r="Y55" s="2"/>
    </row>
    <row r="56" spans="1:30">
      <c r="A56" t="s">
        <v>14</v>
      </c>
      <c r="B56" t="s">
        <v>14</v>
      </c>
      <c r="C56" t="s">
        <v>46</v>
      </c>
      <c r="E56" s="55">
        <v>38047</v>
      </c>
      <c r="F56" t="s">
        <v>7</v>
      </c>
      <c r="G56" s="2">
        <v>7.9826088799380389E-4</v>
      </c>
      <c r="J56">
        <v>1</v>
      </c>
      <c r="K56" t="s">
        <v>163</v>
      </c>
      <c r="L56" t="s">
        <v>8</v>
      </c>
      <c r="W56" s="8"/>
      <c r="Y56" s="10"/>
    </row>
    <row r="57" spans="1:30">
      <c r="A57" t="s">
        <v>14</v>
      </c>
      <c r="B57" t="s">
        <v>14</v>
      </c>
      <c r="C57" t="s">
        <v>46</v>
      </c>
      <c r="E57" s="55">
        <v>38292</v>
      </c>
      <c r="F57" t="s">
        <v>7</v>
      </c>
      <c r="G57" s="2">
        <v>1.1311848602376653E-3</v>
      </c>
      <c r="J57">
        <v>1</v>
      </c>
      <c r="K57" t="s">
        <v>163</v>
      </c>
      <c r="L57" t="s">
        <v>8</v>
      </c>
      <c r="V57" s="2"/>
      <c r="X57" s="2"/>
      <c r="Z57" s="2"/>
      <c r="AB57" s="8"/>
    </row>
    <row r="58" spans="1:30">
      <c r="A58" t="s">
        <v>14</v>
      </c>
      <c r="B58" t="s">
        <v>14</v>
      </c>
      <c r="C58" t="s">
        <v>46</v>
      </c>
      <c r="E58" s="55">
        <v>38473</v>
      </c>
      <c r="F58" t="s">
        <v>7</v>
      </c>
      <c r="G58" s="2">
        <v>1.4187101089937273E-3</v>
      </c>
      <c r="J58">
        <v>1</v>
      </c>
      <c r="K58" t="s">
        <v>163</v>
      </c>
      <c r="L58" t="s">
        <v>8</v>
      </c>
      <c r="X58" s="2"/>
      <c r="Z58" s="2"/>
      <c r="AC58" s="2"/>
    </row>
    <row r="59" spans="1:30">
      <c r="A59" t="s">
        <v>14</v>
      </c>
      <c r="B59" t="s">
        <v>14</v>
      </c>
      <c r="C59" t="s">
        <v>46</v>
      </c>
      <c r="E59" s="55">
        <v>38504</v>
      </c>
      <c r="F59" t="s">
        <v>7</v>
      </c>
      <c r="G59" s="2">
        <v>1.2749474846156963E-3</v>
      </c>
      <c r="J59">
        <v>1</v>
      </c>
      <c r="K59" t="s">
        <v>163</v>
      </c>
      <c r="L59" t="s">
        <v>8</v>
      </c>
      <c r="X59" s="2"/>
      <c r="Z59" s="2"/>
      <c r="AC59" s="2"/>
    </row>
    <row r="60" spans="1:30">
      <c r="A60" t="s">
        <v>14</v>
      </c>
      <c r="B60" t="s">
        <v>14</v>
      </c>
      <c r="C60" t="s">
        <v>47</v>
      </c>
      <c r="E60" s="55">
        <v>38292</v>
      </c>
      <c r="F60" t="s">
        <v>7</v>
      </c>
      <c r="G60" s="2">
        <v>1.0668700019632832E-3</v>
      </c>
      <c r="J60">
        <v>1</v>
      </c>
      <c r="K60" t="s">
        <v>163</v>
      </c>
      <c r="L60" t="s">
        <v>8</v>
      </c>
      <c r="AC60" s="2"/>
    </row>
    <row r="61" spans="1:30">
      <c r="A61" t="s">
        <v>14</v>
      </c>
      <c r="B61" t="s">
        <v>14</v>
      </c>
      <c r="C61" t="s">
        <v>48</v>
      </c>
      <c r="E61" s="55">
        <v>38292</v>
      </c>
      <c r="F61" t="s">
        <v>7</v>
      </c>
      <c r="G61" s="2">
        <v>2.2018380891582648E-4</v>
      </c>
      <c r="J61">
        <v>1</v>
      </c>
      <c r="K61" t="s">
        <v>163</v>
      </c>
      <c r="L61" t="s">
        <v>8</v>
      </c>
    </row>
    <row r="62" spans="1:30">
      <c r="A62" t="s">
        <v>14</v>
      </c>
      <c r="B62" t="s">
        <v>14</v>
      </c>
      <c r="C62" t="s">
        <v>49</v>
      </c>
      <c r="E62" s="55">
        <v>38292</v>
      </c>
      <c r="F62" t="s">
        <v>6</v>
      </c>
      <c r="G62" s="2">
        <v>7.9826088799380395E-3</v>
      </c>
      <c r="J62">
        <v>1</v>
      </c>
      <c r="K62" t="s">
        <v>163</v>
      </c>
      <c r="L62" t="s">
        <v>8</v>
      </c>
    </row>
    <row r="63" spans="1:30">
      <c r="A63" t="s">
        <v>14</v>
      </c>
      <c r="B63" t="s">
        <v>14</v>
      </c>
      <c r="C63" t="s">
        <v>49</v>
      </c>
      <c r="E63" s="55">
        <v>38473</v>
      </c>
      <c r="F63" t="s">
        <v>6</v>
      </c>
      <c r="G63" s="2">
        <v>9.0419124279866891E-4</v>
      </c>
      <c r="J63">
        <v>1</v>
      </c>
      <c r="K63" t="s">
        <v>163</v>
      </c>
      <c r="L63" t="s">
        <v>8</v>
      </c>
    </row>
    <row r="64" spans="1:30">
      <c r="A64" t="s">
        <v>14</v>
      </c>
      <c r="B64" t="s">
        <v>14</v>
      </c>
      <c r="C64" t="s">
        <v>50</v>
      </c>
      <c r="E64" s="55">
        <v>38292</v>
      </c>
      <c r="F64" t="s">
        <v>6</v>
      </c>
      <c r="G64" s="2">
        <v>1.7213682655790562E-3</v>
      </c>
      <c r="J64">
        <v>1</v>
      </c>
      <c r="K64" t="s">
        <v>163</v>
      </c>
      <c r="L64" t="s">
        <v>8</v>
      </c>
    </row>
    <row r="65" spans="1:28">
      <c r="A65" t="s">
        <v>14</v>
      </c>
      <c r="B65" t="s">
        <v>14</v>
      </c>
      <c r="C65" t="s">
        <v>50</v>
      </c>
      <c r="E65" s="55">
        <v>38473</v>
      </c>
      <c r="F65" t="s">
        <v>6</v>
      </c>
      <c r="G65" s="2">
        <v>6.2801567491455664E-4</v>
      </c>
      <c r="J65">
        <v>1</v>
      </c>
      <c r="K65" t="s">
        <v>163</v>
      </c>
      <c r="L65" t="s">
        <v>8</v>
      </c>
      <c r="AB65" s="2"/>
    </row>
    <row r="66" spans="1:28">
      <c r="A66" t="s">
        <v>14</v>
      </c>
      <c r="B66" t="s">
        <v>14</v>
      </c>
      <c r="C66" t="s">
        <v>51</v>
      </c>
      <c r="E66" s="55">
        <v>38504</v>
      </c>
      <c r="F66" t="s">
        <v>6</v>
      </c>
      <c r="G66" s="2">
        <v>2.2358871317741144E-3</v>
      </c>
      <c r="J66">
        <v>1</v>
      </c>
      <c r="K66" t="s">
        <v>163</v>
      </c>
      <c r="L66" t="s">
        <v>8</v>
      </c>
      <c r="AB66" s="2"/>
    </row>
    <row r="67" spans="1:28">
      <c r="A67" t="s">
        <v>14</v>
      </c>
      <c r="B67" t="s">
        <v>14</v>
      </c>
      <c r="C67" t="s">
        <v>52</v>
      </c>
      <c r="E67" s="55">
        <v>38504</v>
      </c>
      <c r="F67" t="s">
        <v>6</v>
      </c>
      <c r="G67" s="2">
        <v>1.1992829454693643E-3</v>
      </c>
      <c r="J67">
        <v>1</v>
      </c>
      <c r="K67" t="s">
        <v>163</v>
      </c>
      <c r="L67" t="s">
        <v>8</v>
      </c>
      <c r="AB67" s="2"/>
    </row>
    <row r="68" spans="1:28">
      <c r="A68" t="s">
        <v>14</v>
      </c>
      <c r="B68" t="s">
        <v>14</v>
      </c>
      <c r="C68" t="s">
        <v>53</v>
      </c>
      <c r="E68" s="55">
        <v>38322</v>
      </c>
      <c r="F68" t="s">
        <v>9</v>
      </c>
      <c r="G68" s="2">
        <v>1.2522481228717967E-2</v>
      </c>
      <c r="J68">
        <v>1</v>
      </c>
      <c r="K68" t="s">
        <v>163</v>
      </c>
      <c r="L68" t="s">
        <v>8</v>
      </c>
      <c r="AB68" s="2"/>
    </row>
    <row r="69" spans="1:28">
      <c r="A69" t="s">
        <v>14</v>
      </c>
      <c r="B69" t="s">
        <v>14</v>
      </c>
      <c r="C69" t="s">
        <v>54</v>
      </c>
      <c r="E69" s="55">
        <v>38047</v>
      </c>
      <c r="F69" t="s">
        <v>9</v>
      </c>
      <c r="G69" s="2">
        <v>4.8425305053652563E-2</v>
      </c>
      <c r="J69">
        <v>1</v>
      </c>
      <c r="K69" t="s">
        <v>163</v>
      </c>
      <c r="L69" t="s">
        <v>8</v>
      </c>
      <c r="AB69" s="2"/>
    </row>
    <row r="70" spans="1:28">
      <c r="A70" t="s">
        <v>14</v>
      </c>
      <c r="B70" t="s">
        <v>14</v>
      </c>
      <c r="C70" t="s">
        <v>55</v>
      </c>
      <c r="E70" s="55">
        <v>38504</v>
      </c>
      <c r="F70" t="s">
        <v>9</v>
      </c>
      <c r="G70" s="2">
        <v>3.3103235876520309E-2</v>
      </c>
      <c r="J70">
        <v>1</v>
      </c>
      <c r="K70" t="s">
        <v>163</v>
      </c>
      <c r="L70" t="s">
        <v>8</v>
      </c>
      <c r="AB70" s="2"/>
    </row>
    <row r="71" spans="1:28">
      <c r="A71" t="s">
        <v>14</v>
      </c>
      <c r="B71" t="s">
        <v>14</v>
      </c>
      <c r="C71" t="s">
        <v>56</v>
      </c>
      <c r="E71" s="55">
        <v>38322</v>
      </c>
      <c r="F71" t="s">
        <v>9</v>
      </c>
      <c r="G71" s="2">
        <v>3.8967237660361045E-2</v>
      </c>
      <c r="J71">
        <v>1</v>
      </c>
      <c r="K71" t="s">
        <v>163</v>
      </c>
      <c r="L71" t="s">
        <v>8</v>
      </c>
      <c r="AB71" s="2"/>
    </row>
    <row r="72" spans="1:28">
      <c r="A72" t="s">
        <v>14</v>
      </c>
      <c r="B72" t="s">
        <v>14</v>
      </c>
      <c r="C72" t="s">
        <v>56</v>
      </c>
      <c r="E72" s="55">
        <v>33695</v>
      </c>
      <c r="F72" t="s">
        <v>9</v>
      </c>
      <c r="G72" s="2">
        <v>5.8261695142675729E-3</v>
      </c>
      <c r="J72">
        <v>1</v>
      </c>
      <c r="K72" t="s">
        <v>163</v>
      </c>
      <c r="L72" t="s">
        <v>8</v>
      </c>
      <c r="AB72" s="2"/>
    </row>
    <row r="73" spans="1:28">
      <c r="A73" t="s">
        <v>14</v>
      </c>
      <c r="B73" t="s">
        <v>14</v>
      </c>
      <c r="C73" t="s">
        <v>57</v>
      </c>
      <c r="E73" s="55">
        <v>33695</v>
      </c>
      <c r="F73" t="s">
        <v>9</v>
      </c>
      <c r="G73" s="2">
        <v>3.3103235876520303E-3</v>
      </c>
      <c r="J73">
        <v>1</v>
      </c>
      <c r="K73" t="s">
        <v>163</v>
      </c>
      <c r="L73" t="s">
        <v>8</v>
      </c>
    </row>
    <row r="74" spans="1:28">
      <c r="A74" s="3" t="s">
        <v>14</v>
      </c>
      <c r="B74" s="3" t="s">
        <v>14</v>
      </c>
      <c r="C74" s="3" t="s">
        <v>10</v>
      </c>
      <c r="D74" s="3" t="s">
        <v>254</v>
      </c>
      <c r="E74" s="54">
        <v>38139</v>
      </c>
      <c r="F74" s="3" t="s">
        <v>9</v>
      </c>
      <c r="G74" s="4">
        <v>1.732717946451006E-2</v>
      </c>
      <c r="H74" s="4"/>
      <c r="I74" s="4"/>
      <c r="J74" s="3">
        <v>1</v>
      </c>
      <c r="K74" s="3" t="s">
        <v>163</v>
      </c>
      <c r="L74" s="3" t="s">
        <v>11</v>
      </c>
      <c r="AB74" s="2"/>
    </row>
    <row r="75" spans="1:28">
      <c r="A75" t="s">
        <v>14</v>
      </c>
      <c r="B75" t="s">
        <v>14</v>
      </c>
      <c r="C75" t="s">
        <v>10</v>
      </c>
      <c r="D75" t="s">
        <v>254</v>
      </c>
      <c r="E75" s="55">
        <v>38353</v>
      </c>
      <c r="F75" t="s">
        <v>9</v>
      </c>
      <c r="G75" s="2">
        <v>1.766766989066855E-2</v>
      </c>
      <c r="J75">
        <v>1</v>
      </c>
      <c r="K75" t="s">
        <v>163</v>
      </c>
      <c r="L75" t="s">
        <v>11</v>
      </c>
      <c r="AB75" s="2"/>
    </row>
    <row r="76" spans="1:28">
      <c r="A76" t="s">
        <v>214</v>
      </c>
      <c r="B76" t="s">
        <v>14</v>
      </c>
      <c r="C76" t="s">
        <v>58</v>
      </c>
      <c r="D76" t="s">
        <v>254</v>
      </c>
      <c r="E76" s="55">
        <v>38139</v>
      </c>
      <c r="F76" t="s">
        <v>9</v>
      </c>
      <c r="G76" s="2">
        <v>4.1993819226214335E-3</v>
      </c>
      <c r="J76">
        <v>1</v>
      </c>
      <c r="K76" t="s">
        <v>163</v>
      </c>
      <c r="L76" t="s">
        <v>11</v>
      </c>
      <c r="AB76" s="2"/>
    </row>
    <row r="77" spans="1:28">
      <c r="A77" t="s">
        <v>214</v>
      </c>
      <c r="B77" t="s">
        <v>14</v>
      </c>
      <c r="C77" t="s">
        <v>58</v>
      </c>
      <c r="D77" t="s">
        <v>254</v>
      </c>
      <c r="E77" s="55">
        <v>38353</v>
      </c>
      <c r="F77" t="s">
        <v>9</v>
      </c>
      <c r="G77" s="2">
        <v>6.3936535578650649E-3</v>
      </c>
      <c r="J77">
        <v>1</v>
      </c>
      <c r="K77" t="s">
        <v>163</v>
      </c>
      <c r="L77" t="s">
        <v>11</v>
      </c>
      <c r="AB77" s="2"/>
    </row>
    <row r="78" spans="1:28">
      <c r="A78" t="s">
        <v>214</v>
      </c>
      <c r="B78" t="s">
        <v>14</v>
      </c>
      <c r="C78" t="s">
        <v>59</v>
      </c>
      <c r="D78" t="s">
        <v>254</v>
      </c>
      <c r="E78" s="55">
        <v>37834</v>
      </c>
      <c r="F78" t="s">
        <v>9</v>
      </c>
      <c r="G78" s="2">
        <v>4.4263755400604293E-3</v>
      </c>
      <c r="J78">
        <v>1</v>
      </c>
      <c r="K78" t="s">
        <v>163</v>
      </c>
      <c r="L78" t="s">
        <v>11</v>
      </c>
      <c r="AB78" s="2"/>
    </row>
    <row r="79" spans="1:28">
      <c r="A79" t="s">
        <v>214</v>
      </c>
      <c r="B79" t="s">
        <v>14</v>
      </c>
      <c r="C79" t="s">
        <v>59</v>
      </c>
      <c r="D79" t="s">
        <v>254</v>
      </c>
      <c r="E79" s="55">
        <v>38353</v>
      </c>
      <c r="F79" t="s">
        <v>9</v>
      </c>
      <c r="G79" s="2">
        <v>7.1502989493283861E-3</v>
      </c>
      <c r="J79">
        <v>1</v>
      </c>
      <c r="K79" t="s">
        <v>163</v>
      </c>
      <c r="L79" t="s">
        <v>11</v>
      </c>
      <c r="AB79" s="2"/>
    </row>
    <row r="80" spans="1:28">
      <c r="A80" t="s">
        <v>214</v>
      </c>
      <c r="B80" t="s">
        <v>14</v>
      </c>
      <c r="C80" t="s">
        <v>60</v>
      </c>
      <c r="D80" t="s">
        <v>254</v>
      </c>
      <c r="E80" s="55">
        <v>37712</v>
      </c>
      <c r="F80" t="s">
        <v>9</v>
      </c>
      <c r="G80" s="2">
        <v>2.6558253240362576E-3</v>
      </c>
      <c r="J80">
        <v>1</v>
      </c>
      <c r="K80" t="s">
        <v>163</v>
      </c>
      <c r="L80" t="s">
        <v>11</v>
      </c>
    </row>
    <row r="81" spans="1:12">
      <c r="A81" t="s">
        <v>214</v>
      </c>
      <c r="B81" t="s">
        <v>14</v>
      </c>
      <c r="C81" t="s">
        <v>60</v>
      </c>
      <c r="D81" t="s">
        <v>254</v>
      </c>
      <c r="E81" s="55">
        <v>38292</v>
      </c>
      <c r="F81" t="s">
        <v>9</v>
      </c>
      <c r="G81" s="2">
        <v>5.2586854706700836E-3</v>
      </c>
      <c r="J81">
        <v>1</v>
      </c>
      <c r="K81" t="s">
        <v>163</v>
      </c>
      <c r="L81" t="s">
        <v>11</v>
      </c>
    </row>
    <row r="82" spans="1:12">
      <c r="A82" t="s">
        <v>214</v>
      </c>
      <c r="B82" t="s">
        <v>14</v>
      </c>
      <c r="C82" t="s">
        <v>61</v>
      </c>
      <c r="D82" t="s">
        <v>254</v>
      </c>
      <c r="E82" s="55">
        <v>38261</v>
      </c>
      <c r="F82" t="s">
        <v>9</v>
      </c>
      <c r="G82" s="2">
        <v>2.3569503944082457E-3</v>
      </c>
      <c r="J82">
        <v>1</v>
      </c>
      <c r="K82" t="s">
        <v>163</v>
      </c>
      <c r="L82" t="s">
        <v>11</v>
      </c>
    </row>
    <row r="83" spans="1:12">
      <c r="A83" t="s">
        <v>214</v>
      </c>
      <c r="B83" t="s">
        <v>14</v>
      </c>
      <c r="C83" t="s">
        <v>62</v>
      </c>
      <c r="D83" t="s">
        <v>254</v>
      </c>
      <c r="E83" s="55">
        <v>37773</v>
      </c>
      <c r="F83" t="s">
        <v>9</v>
      </c>
      <c r="G83" s="2">
        <v>5.296517740243249E-4</v>
      </c>
      <c r="J83">
        <v>1</v>
      </c>
      <c r="K83" t="s">
        <v>163</v>
      </c>
      <c r="L83" t="s">
        <v>11</v>
      </c>
    </row>
    <row r="84" spans="1:12">
      <c r="A84" t="s">
        <v>214</v>
      </c>
      <c r="B84" t="s">
        <v>14</v>
      </c>
      <c r="C84" t="s">
        <v>63</v>
      </c>
      <c r="D84" t="s">
        <v>254</v>
      </c>
      <c r="E84" s="55">
        <v>37773</v>
      </c>
      <c r="F84" t="s">
        <v>9</v>
      </c>
      <c r="G84" s="2">
        <v>8.2852670365233692E-4</v>
      </c>
      <c r="J84">
        <v>1</v>
      </c>
      <c r="K84" t="s">
        <v>163</v>
      </c>
      <c r="L84" t="s">
        <v>11</v>
      </c>
    </row>
    <row r="85" spans="1:12">
      <c r="A85" t="s">
        <v>214</v>
      </c>
      <c r="B85" t="s">
        <v>14</v>
      </c>
      <c r="C85" t="s">
        <v>64</v>
      </c>
      <c r="D85" t="s">
        <v>254</v>
      </c>
      <c r="E85" s="55">
        <v>38473</v>
      </c>
      <c r="F85" t="s">
        <v>9</v>
      </c>
      <c r="G85" s="2">
        <v>8.6257574626818622E-4</v>
      </c>
      <c r="J85">
        <v>1</v>
      </c>
      <c r="K85" t="s">
        <v>163</v>
      </c>
      <c r="L85" t="s">
        <v>11</v>
      </c>
    </row>
    <row r="86" spans="1:12">
      <c r="A86" t="s">
        <v>214</v>
      </c>
      <c r="B86" t="s">
        <v>14</v>
      </c>
      <c r="C86" t="s">
        <v>65</v>
      </c>
      <c r="D86" t="s">
        <v>254</v>
      </c>
      <c r="E86" s="55">
        <v>37803</v>
      </c>
      <c r="F86" t="s">
        <v>9</v>
      </c>
      <c r="G86" s="2">
        <v>1.1387513141522987E-3</v>
      </c>
      <c r="J86">
        <v>1</v>
      </c>
      <c r="K86" t="s">
        <v>163</v>
      </c>
      <c r="L86" t="s">
        <v>11</v>
      </c>
    </row>
    <row r="87" spans="1:12">
      <c r="A87" t="s">
        <v>214</v>
      </c>
      <c r="B87" t="s">
        <v>14</v>
      </c>
      <c r="C87" t="s">
        <v>65</v>
      </c>
      <c r="D87" t="s">
        <v>254</v>
      </c>
      <c r="E87" s="55">
        <v>38169</v>
      </c>
      <c r="F87" t="s">
        <v>9</v>
      </c>
      <c r="G87" s="2">
        <v>3.1400783745727832E-4</v>
      </c>
      <c r="J87">
        <v>1</v>
      </c>
      <c r="K87" t="s">
        <v>163</v>
      </c>
      <c r="L87" t="s">
        <v>11</v>
      </c>
    </row>
    <row r="88" spans="1:12">
      <c r="A88" t="s">
        <v>214</v>
      </c>
      <c r="B88" t="s">
        <v>14</v>
      </c>
      <c r="C88" t="s">
        <v>65</v>
      </c>
      <c r="D88" t="s">
        <v>254</v>
      </c>
      <c r="E88" s="55">
        <v>38534</v>
      </c>
      <c r="F88" t="s">
        <v>9</v>
      </c>
      <c r="G88" s="2">
        <v>8.9284156192671904E-4</v>
      </c>
      <c r="J88">
        <v>1</v>
      </c>
      <c r="K88" t="s">
        <v>163</v>
      </c>
      <c r="L88" t="s">
        <v>11</v>
      </c>
    </row>
    <row r="89" spans="1:12">
      <c r="A89" t="s">
        <v>136</v>
      </c>
      <c r="B89" t="s">
        <v>15</v>
      </c>
      <c r="C89" t="s">
        <v>66</v>
      </c>
      <c r="D89" t="s">
        <v>254</v>
      </c>
      <c r="E89" s="55">
        <v>37803</v>
      </c>
      <c r="F89" t="s">
        <v>9</v>
      </c>
      <c r="G89" s="2">
        <v>1.0139048245608505E-3</v>
      </c>
      <c r="J89">
        <v>1</v>
      </c>
      <c r="K89" t="s">
        <v>163</v>
      </c>
      <c r="L89" t="s">
        <v>11</v>
      </c>
    </row>
    <row r="90" spans="1:12">
      <c r="A90" t="s">
        <v>136</v>
      </c>
      <c r="B90" t="s">
        <v>15</v>
      </c>
      <c r="C90" t="s">
        <v>66</v>
      </c>
      <c r="D90" t="s">
        <v>254</v>
      </c>
      <c r="E90" s="55">
        <v>38169</v>
      </c>
      <c r="F90" t="s">
        <v>9</v>
      </c>
      <c r="G90" s="2">
        <v>6.1666599404260676E-4</v>
      </c>
      <c r="J90">
        <v>1</v>
      </c>
      <c r="K90" t="s">
        <v>163</v>
      </c>
      <c r="L90" t="s">
        <v>11</v>
      </c>
    </row>
    <row r="91" spans="1:12">
      <c r="A91" t="s">
        <v>136</v>
      </c>
      <c r="B91" t="s">
        <v>15</v>
      </c>
      <c r="C91" t="s">
        <v>66</v>
      </c>
      <c r="D91" t="s">
        <v>254</v>
      </c>
      <c r="E91" s="55">
        <v>38534</v>
      </c>
      <c r="F91" t="s">
        <v>9</v>
      </c>
      <c r="G91" s="2">
        <v>5.258685470670082E-4</v>
      </c>
      <c r="J91">
        <v>1</v>
      </c>
      <c r="K91" t="s">
        <v>163</v>
      </c>
      <c r="L91" t="s">
        <v>11</v>
      </c>
    </row>
    <row r="92" spans="1:12">
      <c r="A92" t="s">
        <v>136</v>
      </c>
      <c r="B92" t="s">
        <v>15</v>
      </c>
      <c r="C92" t="s">
        <v>67</v>
      </c>
      <c r="D92" t="s">
        <v>254</v>
      </c>
      <c r="E92" s="55">
        <v>37622</v>
      </c>
      <c r="F92" t="s">
        <v>9</v>
      </c>
      <c r="G92" s="2">
        <v>5.6370081664017442E-4</v>
      </c>
      <c r="J92">
        <v>1</v>
      </c>
      <c r="K92" t="s">
        <v>163</v>
      </c>
      <c r="L92" t="s">
        <v>11</v>
      </c>
    </row>
    <row r="93" spans="1:12">
      <c r="A93" t="s">
        <v>136</v>
      </c>
      <c r="B93" t="s">
        <v>15</v>
      </c>
      <c r="C93" t="s">
        <v>68</v>
      </c>
      <c r="D93" t="s">
        <v>254</v>
      </c>
      <c r="E93" s="55">
        <v>38534</v>
      </c>
      <c r="F93" t="s">
        <v>9</v>
      </c>
      <c r="G93" s="2">
        <v>6.9611376014625556E-4</v>
      </c>
      <c r="J93">
        <v>1</v>
      </c>
      <c r="K93" t="s">
        <v>163</v>
      </c>
      <c r="L93" t="s">
        <v>11</v>
      </c>
    </row>
    <row r="94" spans="1:12">
      <c r="A94" t="s">
        <v>136</v>
      </c>
      <c r="B94" t="s">
        <v>15</v>
      </c>
      <c r="C94" t="s">
        <v>69</v>
      </c>
      <c r="D94" t="s">
        <v>254</v>
      </c>
      <c r="E94" s="55">
        <v>38534</v>
      </c>
      <c r="F94" t="s">
        <v>9</v>
      </c>
      <c r="G94" s="2">
        <v>4.2372141921945988E-4</v>
      </c>
      <c r="J94">
        <v>1</v>
      </c>
      <c r="K94" t="s">
        <v>163</v>
      </c>
      <c r="L94" t="s">
        <v>11</v>
      </c>
    </row>
    <row r="95" spans="1:12">
      <c r="A95" t="s">
        <v>136</v>
      </c>
      <c r="B95" t="s">
        <v>15</v>
      </c>
      <c r="C95" t="s">
        <v>70</v>
      </c>
      <c r="D95" t="s">
        <v>254</v>
      </c>
      <c r="E95" s="55">
        <v>38534</v>
      </c>
      <c r="F95" t="s">
        <v>9</v>
      </c>
      <c r="G95" s="2">
        <v>3.8588914964629383E-4</v>
      </c>
      <c r="J95">
        <v>1</v>
      </c>
      <c r="K95" t="s">
        <v>163</v>
      </c>
      <c r="L95" t="s">
        <v>11</v>
      </c>
    </row>
    <row r="96" spans="1:12">
      <c r="A96" t="s">
        <v>14</v>
      </c>
      <c r="B96" t="s">
        <v>14</v>
      </c>
      <c r="C96" t="s">
        <v>71</v>
      </c>
      <c r="D96" t="s">
        <v>254</v>
      </c>
      <c r="E96" s="55">
        <v>38353</v>
      </c>
      <c r="F96" t="s">
        <v>7</v>
      </c>
      <c r="G96" s="2">
        <v>1.4451926976949436E-4</v>
      </c>
      <c r="J96">
        <v>1</v>
      </c>
      <c r="K96" t="s">
        <v>163</v>
      </c>
      <c r="L96" t="s">
        <v>11</v>
      </c>
    </row>
    <row r="97" spans="1:94">
      <c r="A97" t="s">
        <v>14</v>
      </c>
      <c r="B97" t="s">
        <v>14</v>
      </c>
      <c r="C97" t="s">
        <v>72</v>
      </c>
      <c r="D97" t="s">
        <v>254</v>
      </c>
      <c r="E97" s="55">
        <v>38139</v>
      </c>
      <c r="F97" t="s">
        <v>6</v>
      </c>
      <c r="G97" s="2">
        <v>3.8588914964629383E-4</v>
      </c>
      <c r="J97">
        <v>1</v>
      </c>
      <c r="K97" t="s">
        <v>163</v>
      </c>
      <c r="L97" t="s">
        <v>11</v>
      </c>
    </row>
    <row r="98" spans="1:94">
      <c r="A98" s="3" t="s">
        <v>74</v>
      </c>
      <c r="B98" s="3" t="s">
        <v>15</v>
      </c>
      <c r="C98" s="3" t="s">
        <v>128</v>
      </c>
      <c r="D98" s="3" t="s">
        <v>254</v>
      </c>
      <c r="E98" s="53">
        <v>2010</v>
      </c>
      <c r="F98" s="3" t="s">
        <v>9</v>
      </c>
      <c r="G98" s="4">
        <v>4.4309949167326451E-4</v>
      </c>
      <c r="H98" s="4"/>
      <c r="I98" s="4"/>
      <c r="J98" s="3">
        <v>1</v>
      </c>
      <c r="K98" s="3" t="s">
        <v>163</v>
      </c>
      <c r="L98" s="3" t="s">
        <v>16</v>
      </c>
      <c r="O98" s="8"/>
    </row>
    <row r="99" spans="1:94">
      <c r="A99" t="s">
        <v>74</v>
      </c>
      <c r="B99" t="s">
        <v>15</v>
      </c>
      <c r="C99" t="s">
        <v>129</v>
      </c>
      <c r="D99" t="s">
        <v>254</v>
      </c>
      <c r="E99" s="52">
        <v>2010</v>
      </c>
      <c r="F99" t="s">
        <v>9</v>
      </c>
      <c r="G99" s="2">
        <v>5.9985710138548364E-5</v>
      </c>
      <c r="J99">
        <v>1</v>
      </c>
      <c r="K99" t="s">
        <v>163</v>
      </c>
      <c r="L99" t="s">
        <v>16</v>
      </c>
    </row>
    <row r="100" spans="1:94">
      <c r="A100" t="s">
        <v>74</v>
      </c>
      <c r="B100" t="s">
        <v>15</v>
      </c>
      <c r="C100" t="s">
        <v>130</v>
      </c>
      <c r="D100" t="s">
        <v>254</v>
      </c>
      <c r="E100" s="52">
        <v>2010</v>
      </c>
      <c r="F100" t="s">
        <v>9</v>
      </c>
      <c r="G100" s="2">
        <v>9.96103401165043E-5</v>
      </c>
      <c r="J100">
        <v>1</v>
      </c>
      <c r="K100" t="s">
        <v>163</v>
      </c>
      <c r="L100" t="s">
        <v>16</v>
      </c>
    </row>
    <row r="101" spans="1:94">
      <c r="A101" t="s">
        <v>74</v>
      </c>
      <c r="B101" t="s">
        <v>15</v>
      </c>
      <c r="C101" t="s">
        <v>131</v>
      </c>
      <c r="D101" t="s">
        <v>254</v>
      </c>
      <c r="E101" s="52">
        <v>2010</v>
      </c>
      <c r="F101" t="s">
        <v>9</v>
      </c>
      <c r="G101" s="2">
        <v>1.5478962426918793E-5</v>
      </c>
      <c r="J101">
        <v>1</v>
      </c>
      <c r="K101" t="s">
        <v>163</v>
      </c>
      <c r="L101" t="s">
        <v>16</v>
      </c>
    </row>
    <row r="102" spans="1:94">
      <c r="A102" t="s">
        <v>74</v>
      </c>
      <c r="B102" t="s">
        <v>15</v>
      </c>
      <c r="C102" t="s">
        <v>132</v>
      </c>
      <c r="D102" t="s">
        <v>254</v>
      </c>
      <c r="E102" s="52">
        <v>2010</v>
      </c>
      <c r="F102" t="s">
        <v>9</v>
      </c>
      <c r="G102" s="2">
        <v>1.0861765810576267E-5</v>
      </c>
      <c r="J102">
        <v>1</v>
      </c>
      <c r="K102" t="s">
        <v>163</v>
      </c>
      <c r="L102" t="s">
        <v>16</v>
      </c>
    </row>
    <row r="103" spans="1:94">
      <c r="A103" t="s">
        <v>74</v>
      </c>
      <c r="B103" t="s">
        <v>15</v>
      </c>
      <c r="C103" t="s">
        <v>133</v>
      </c>
      <c r="D103" t="s">
        <v>254</v>
      </c>
      <c r="E103" s="52">
        <v>2010</v>
      </c>
      <c r="F103" t="s">
        <v>9</v>
      </c>
      <c r="G103" s="2">
        <v>1.2413446640658589E-5</v>
      </c>
      <c r="J103">
        <v>1</v>
      </c>
      <c r="K103" t="s">
        <v>163</v>
      </c>
      <c r="L103" t="s">
        <v>16</v>
      </c>
      <c r="AA103" s="10"/>
      <c r="AE103" s="10"/>
      <c r="AI103" s="10"/>
      <c r="AM103" s="10"/>
      <c r="AQ103" s="8"/>
      <c r="AU103" s="8"/>
      <c r="AY103" s="8"/>
      <c r="BC103" s="8"/>
      <c r="BD103" s="8"/>
      <c r="BE103" s="8"/>
      <c r="BL103" s="8"/>
      <c r="BT103" s="8"/>
      <c r="CC103" s="8"/>
      <c r="CL103" s="8"/>
      <c r="CP103" s="8"/>
    </row>
    <row r="104" spans="1:94">
      <c r="A104" s="3" t="s">
        <v>74</v>
      </c>
      <c r="B104" s="3" t="s">
        <v>13</v>
      </c>
      <c r="C104" s="3" t="s">
        <v>139</v>
      </c>
      <c r="D104" s="3" t="s">
        <v>254</v>
      </c>
      <c r="E104" s="54">
        <v>40481</v>
      </c>
      <c r="F104" s="3" t="s">
        <v>9</v>
      </c>
      <c r="G104" s="4">
        <v>2.4075080637470209E-4</v>
      </c>
      <c r="H104" s="4"/>
      <c r="I104" s="4"/>
      <c r="J104" s="3">
        <v>1</v>
      </c>
      <c r="K104" s="3" t="s">
        <v>163</v>
      </c>
      <c r="L104" s="3" t="s">
        <v>73</v>
      </c>
      <c r="AA104" s="2"/>
      <c r="AE104" s="2"/>
      <c r="AI104" s="2"/>
    </row>
    <row r="105" spans="1:94">
      <c r="A105" t="s">
        <v>74</v>
      </c>
      <c r="B105" t="s">
        <v>13</v>
      </c>
      <c r="C105" t="s">
        <v>139</v>
      </c>
      <c r="D105" t="s">
        <v>254</v>
      </c>
      <c r="E105" s="55">
        <v>40481</v>
      </c>
      <c r="F105" t="s">
        <v>9</v>
      </c>
      <c r="G105" s="2">
        <v>2.0635783403544846E-4</v>
      </c>
      <c r="J105">
        <v>1</v>
      </c>
      <c r="K105" t="s">
        <v>163</v>
      </c>
      <c r="L105" t="s">
        <v>73</v>
      </c>
      <c r="AA105" s="2"/>
      <c r="AB105" s="2"/>
      <c r="AC105" s="2"/>
      <c r="AE105" s="2"/>
      <c r="AI105" s="2"/>
      <c r="AJ105" s="2"/>
      <c r="AK105" s="2"/>
      <c r="AN105" s="2"/>
      <c r="AO105" s="2"/>
      <c r="AR105" s="2"/>
      <c r="AS105" s="2"/>
      <c r="AV105" s="2"/>
      <c r="AW105" s="2"/>
      <c r="AZ105" s="2"/>
      <c r="BA105" s="2"/>
      <c r="BD105" s="2"/>
      <c r="BE105" s="2"/>
      <c r="BF105" s="2"/>
      <c r="BH105" s="8"/>
      <c r="BL105" s="2"/>
      <c r="BM105" s="2"/>
      <c r="BN105" s="2"/>
      <c r="BV105" s="2"/>
      <c r="BW105" s="2"/>
      <c r="BY105" s="8"/>
      <c r="CI105" s="2"/>
      <c r="CJ105" s="2"/>
    </row>
    <row r="106" spans="1:94">
      <c r="A106" t="s">
        <v>74</v>
      </c>
      <c r="B106" t="s">
        <v>13</v>
      </c>
      <c r="C106" t="s">
        <v>139</v>
      </c>
      <c r="D106" t="s">
        <v>254</v>
      </c>
      <c r="E106" s="55">
        <v>40481</v>
      </c>
      <c r="F106" t="s">
        <v>9</v>
      </c>
      <c r="G106" s="2">
        <v>1.7196486169621179E-4</v>
      </c>
      <c r="J106">
        <v>1</v>
      </c>
      <c r="K106" t="s">
        <v>163</v>
      </c>
      <c r="L106" t="s">
        <v>73</v>
      </c>
      <c r="AA106" s="2"/>
      <c r="AB106" s="2"/>
      <c r="AC106" s="2"/>
      <c r="AE106" s="2"/>
      <c r="AI106" s="2"/>
      <c r="AJ106" s="2"/>
      <c r="AK106" s="2"/>
      <c r="AN106" s="2"/>
      <c r="AO106" s="2"/>
      <c r="AR106" s="2"/>
      <c r="AS106" s="2"/>
      <c r="AV106" s="2"/>
      <c r="AW106" s="2"/>
      <c r="AZ106" s="2"/>
      <c r="BA106" s="2"/>
      <c r="BD106" s="2"/>
      <c r="BE106" s="2"/>
      <c r="BF106" s="2"/>
      <c r="BL106" s="2"/>
      <c r="BM106" s="2"/>
      <c r="BN106" s="2"/>
      <c r="BP106" s="2"/>
      <c r="BQ106" s="2"/>
      <c r="BR106" s="2"/>
      <c r="BV106" s="2"/>
      <c r="BW106" s="2"/>
      <c r="CI106" s="2"/>
      <c r="CJ106" s="2"/>
    </row>
    <row r="107" spans="1:94">
      <c r="A107" t="s">
        <v>74</v>
      </c>
      <c r="B107" t="s">
        <v>13</v>
      </c>
      <c r="C107" t="s">
        <v>139</v>
      </c>
      <c r="D107" t="s">
        <v>254</v>
      </c>
      <c r="E107" s="55">
        <v>40481</v>
      </c>
      <c r="F107" t="s">
        <v>9</v>
      </c>
      <c r="G107" s="2">
        <v>6.1907350210635512E-4</v>
      </c>
      <c r="J107">
        <v>1</v>
      </c>
      <c r="K107" t="s">
        <v>163</v>
      </c>
      <c r="L107" t="s">
        <v>73</v>
      </c>
      <c r="AA107" s="2"/>
      <c r="AB107" s="2"/>
      <c r="AC107" s="2"/>
      <c r="AE107" s="2"/>
      <c r="AI107" s="2"/>
      <c r="AJ107" s="2"/>
      <c r="AK107" s="2"/>
      <c r="AN107" s="2"/>
      <c r="AO107" s="2"/>
      <c r="AR107" s="2"/>
      <c r="AS107" s="2"/>
      <c r="AV107" s="2"/>
      <c r="AW107" s="2"/>
      <c r="AZ107" s="2"/>
      <c r="BA107" s="2"/>
      <c r="BE107" s="2"/>
      <c r="BF107" s="2"/>
      <c r="BH107" s="2"/>
      <c r="BI107" s="2"/>
      <c r="BJ107" s="2"/>
      <c r="BM107" s="2"/>
      <c r="BN107" s="2"/>
      <c r="BV107" s="2"/>
      <c r="BW107" s="2"/>
      <c r="BY107" s="2"/>
      <c r="BZ107" s="2"/>
      <c r="CA107" s="2"/>
      <c r="CI107" s="2"/>
      <c r="CJ107" s="2"/>
    </row>
    <row r="108" spans="1:94">
      <c r="A108" t="s">
        <v>74</v>
      </c>
      <c r="B108" t="s">
        <v>13</v>
      </c>
      <c r="C108" t="s">
        <v>139</v>
      </c>
      <c r="D108" t="s">
        <v>254</v>
      </c>
      <c r="E108" s="55">
        <v>40481</v>
      </c>
      <c r="F108" t="s">
        <v>9</v>
      </c>
      <c r="G108" s="2">
        <v>8.5982430848105334E-4</v>
      </c>
      <c r="J108">
        <v>1</v>
      </c>
      <c r="K108" t="s">
        <v>163</v>
      </c>
      <c r="L108" t="s">
        <v>73</v>
      </c>
      <c r="AA108" s="2"/>
      <c r="AB108" s="2"/>
      <c r="AC108" s="2"/>
      <c r="AE108" s="2"/>
      <c r="AI108" s="2"/>
      <c r="AJ108" s="2"/>
      <c r="AK108" s="2"/>
      <c r="AN108" s="2"/>
      <c r="AO108" s="2"/>
      <c r="AR108" s="2"/>
      <c r="AS108" s="2"/>
      <c r="AV108" s="2"/>
      <c r="AW108" s="2"/>
      <c r="AZ108" s="2"/>
      <c r="BA108" s="2"/>
      <c r="BE108" s="2"/>
      <c r="BF108" s="2"/>
      <c r="BM108" s="2"/>
      <c r="BN108" s="2"/>
      <c r="BV108" s="2"/>
      <c r="BW108" s="2"/>
      <c r="CI108" s="2"/>
      <c r="CJ108" s="2"/>
    </row>
    <row r="109" spans="1:94">
      <c r="A109" t="s">
        <v>74</v>
      </c>
      <c r="B109" t="s">
        <v>13</v>
      </c>
      <c r="C109" t="s">
        <v>139</v>
      </c>
      <c r="D109" t="s">
        <v>254</v>
      </c>
      <c r="E109" s="55">
        <v>40481</v>
      </c>
      <c r="F109" t="s">
        <v>9</v>
      </c>
      <c r="G109" s="2">
        <v>7.5664539146332878E-4</v>
      </c>
      <c r="J109">
        <v>1</v>
      </c>
      <c r="K109" t="s">
        <v>163</v>
      </c>
      <c r="L109" t="s">
        <v>73</v>
      </c>
      <c r="AA109" s="2"/>
      <c r="AB109" s="2"/>
      <c r="AC109" s="2"/>
      <c r="AE109" s="2"/>
      <c r="AI109" s="2"/>
      <c r="AJ109" s="2"/>
      <c r="AK109" s="2"/>
      <c r="AN109" s="2"/>
      <c r="AO109" s="2"/>
      <c r="AR109" s="2"/>
      <c r="AS109" s="2"/>
      <c r="AV109" s="2"/>
      <c r="AW109" s="2"/>
      <c r="AZ109" s="2"/>
      <c r="BA109" s="2"/>
      <c r="BE109" s="2"/>
      <c r="BF109" s="2"/>
      <c r="BM109" s="2"/>
      <c r="BN109" s="2"/>
      <c r="BV109" s="2"/>
      <c r="BW109" s="2"/>
      <c r="CI109" s="2"/>
      <c r="CJ109" s="2"/>
    </row>
    <row r="110" spans="1:94">
      <c r="A110" t="s">
        <v>74</v>
      </c>
      <c r="B110" t="s">
        <v>13</v>
      </c>
      <c r="C110" t="s">
        <v>139</v>
      </c>
      <c r="D110" t="s">
        <v>254</v>
      </c>
      <c r="E110" s="55">
        <v>40481</v>
      </c>
      <c r="F110" t="s">
        <v>9</v>
      </c>
      <c r="G110" s="2">
        <v>1.3069329488911972E-3</v>
      </c>
      <c r="J110">
        <v>1</v>
      </c>
      <c r="K110" t="s">
        <v>163</v>
      </c>
      <c r="L110" t="s">
        <v>73</v>
      </c>
      <c r="AA110" s="2"/>
      <c r="AB110" s="2"/>
      <c r="AC110" s="2"/>
      <c r="AE110" s="2"/>
      <c r="AI110" s="2"/>
      <c r="AJ110" s="2"/>
      <c r="AK110" s="2"/>
      <c r="AN110" s="2"/>
      <c r="AO110" s="2"/>
      <c r="AR110" s="2"/>
      <c r="AS110" s="2"/>
      <c r="AV110" s="2"/>
      <c r="AW110" s="2"/>
      <c r="AZ110" s="2"/>
      <c r="BA110" s="2"/>
      <c r="BE110" s="2"/>
      <c r="BF110" s="2"/>
      <c r="BM110" s="2"/>
      <c r="BN110" s="2"/>
      <c r="BV110" s="2"/>
      <c r="BW110" s="2"/>
      <c r="CI110" s="2"/>
      <c r="CJ110" s="2"/>
    </row>
    <row r="111" spans="1:94">
      <c r="A111" t="s">
        <v>74</v>
      </c>
      <c r="B111" t="s">
        <v>13</v>
      </c>
      <c r="C111" t="s">
        <v>139</v>
      </c>
      <c r="D111" t="s">
        <v>254</v>
      </c>
      <c r="E111" s="55">
        <v>40481</v>
      </c>
      <c r="F111" t="s">
        <v>9</v>
      </c>
      <c r="G111" s="2">
        <v>2.7514377871393492E-3</v>
      </c>
      <c r="J111">
        <v>1</v>
      </c>
      <c r="K111" t="s">
        <v>163</v>
      </c>
      <c r="L111" t="s">
        <v>73</v>
      </c>
      <c r="AA111" s="2"/>
      <c r="AB111" s="2"/>
      <c r="AC111" s="2"/>
      <c r="AE111" s="2"/>
      <c r="AI111" s="2"/>
      <c r="AJ111" s="2"/>
      <c r="AK111" s="2"/>
      <c r="AR111" s="2"/>
      <c r="AS111" s="2"/>
      <c r="AV111" s="2"/>
      <c r="AW111" s="2"/>
      <c r="AZ111" s="2"/>
      <c r="BA111" s="2"/>
      <c r="BE111" s="2"/>
      <c r="BF111" s="2"/>
      <c r="BH111" s="8"/>
      <c r="BM111" s="2"/>
      <c r="BN111" s="2"/>
      <c r="BV111" s="2"/>
      <c r="BW111" s="2"/>
      <c r="CI111" s="2"/>
      <c r="CJ111" s="2"/>
    </row>
    <row r="112" spans="1:94">
      <c r="A112" t="s">
        <v>74</v>
      </c>
      <c r="B112" t="s">
        <v>13</v>
      </c>
      <c r="C112" t="s">
        <v>139</v>
      </c>
      <c r="D112" t="s">
        <v>254</v>
      </c>
      <c r="E112" s="55">
        <v>40481</v>
      </c>
      <c r="F112" t="s">
        <v>9</v>
      </c>
      <c r="G112" s="2">
        <v>2.9234026488355563E-3</v>
      </c>
      <c r="J112">
        <v>1</v>
      </c>
      <c r="K112" t="s">
        <v>163</v>
      </c>
      <c r="L112" t="s">
        <v>73</v>
      </c>
      <c r="AA112" s="2"/>
      <c r="AB112" s="2"/>
      <c r="AC112" s="2"/>
      <c r="AE112" s="2"/>
      <c r="AI112" s="2"/>
      <c r="AJ112" s="2"/>
      <c r="AK112" s="2"/>
      <c r="AR112" s="2"/>
      <c r="AS112" s="2"/>
      <c r="AV112" s="2"/>
      <c r="AW112" s="2"/>
      <c r="AZ112" s="2"/>
      <c r="BA112" s="2"/>
      <c r="BE112" s="2"/>
      <c r="BF112" s="2"/>
      <c r="BH112" s="8"/>
      <c r="BM112" s="2"/>
      <c r="BN112" s="2"/>
      <c r="BV112" s="2"/>
      <c r="BW112" s="2"/>
      <c r="CI112" s="2"/>
      <c r="CJ112" s="2"/>
    </row>
    <row r="113" spans="1:88">
      <c r="A113" t="s">
        <v>74</v>
      </c>
      <c r="B113" t="s">
        <v>13</v>
      </c>
      <c r="C113" t="s">
        <v>139</v>
      </c>
      <c r="D113" t="s">
        <v>254</v>
      </c>
      <c r="E113" s="55">
        <v>40481</v>
      </c>
      <c r="F113" t="s">
        <v>9</v>
      </c>
      <c r="G113" s="2">
        <v>4.4023004594229464E-3</v>
      </c>
      <c r="J113">
        <v>1</v>
      </c>
      <c r="K113" t="s">
        <v>163</v>
      </c>
      <c r="L113" t="s">
        <v>73</v>
      </c>
      <c r="AA113" s="2"/>
      <c r="AB113" s="2"/>
      <c r="AC113" s="2"/>
      <c r="AE113" s="2"/>
      <c r="AI113" s="2"/>
      <c r="AJ113" s="2"/>
      <c r="AK113" s="2"/>
      <c r="AR113" s="2"/>
      <c r="AS113" s="2"/>
      <c r="AV113" s="2"/>
      <c r="AW113" s="2"/>
      <c r="AZ113" s="2"/>
      <c r="BA113" s="2"/>
      <c r="BE113" s="2"/>
      <c r="BF113" s="2"/>
      <c r="BM113" s="2"/>
      <c r="BN113" s="2"/>
      <c r="BV113" s="2"/>
      <c r="BW113" s="2"/>
      <c r="CI113" s="2"/>
      <c r="CJ113" s="2"/>
    </row>
    <row r="114" spans="1:88">
      <c r="A114" t="s">
        <v>74</v>
      </c>
      <c r="B114" t="s">
        <v>13</v>
      </c>
      <c r="C114" t="s">
        <v>139</v>
      </c>
      <c r="D114" t="s">
        <v>254</v>
      </c>
      <c r="E114" s="55">
        <v>40481</v>
      </c>
      <c r="F114" t="s">
        <v>9</v>
      </c>
      <c r="G114" s="2">
        <v>6.0187701593673246E-3</v>
      </c>
      <c r="J114">
        <v>1</v>
      </c>
      <c r="K114" t="s">
        <v>163</v>
      </c>
      <c r="L114" t="s">
        <v>73</v>
      </c>
      <c r="AA114" s="2"/>
      <c r="AB114" s="2"/>
      <c r="AC114" s="2"/>
      <c r="AE114" s="2"/>
      <c r="AI114" s="2"/>
      <c r="AJ114" s="2"/>
      <c r="AK114" s="2"/>
      <c r="AV114" s="2"/>
      <c r="AW114" s="2"/>
      <c r="AZ114" s="2"/>
      <c r="BA114" s="2"/>
      <c r="BE114" s="2"/>
      <c r="BF114" s="2"/>
      <c r="BH114" s="2"/>
      <c r="BI114" s="2"/>
      <c r="BJ114" s="2"/>
      <c r="BM114" s="2"/>
      <c r="BN114" s="2"/>
      <c r="BV114" s="2"/>
      <c r="BW114" s="2"/>
      <c r="CI114" s="2"/>
      <c r="CJ114" s="2"/>
    </row>
    <row r="115" spans="1:88">
      <c r="A115" t="s">
        <v>74</v>
      </c>
      <c r="B115" t="s">
        <v>13</v>
      </c>
      <c r="C115" t="s">
        <v>139</v>
      </c>
      <c r="D115" t="s">
        <v>254</v>
      </c>
      <c r="E115" s="55">
        <v>40481</v>
      </c>
      <c r="F115" t="s">
        <v>9</v>
      </c>
      <c r="G115" s="2">
        <v>5.5372685466179286E-3</v>
      </c>
      <c r="J115">
        <v>1</v>
      </c>
      <c r="K115" t="s">
        <v>163</v>
      </c>
      <c r="L115" t="s">
        <v>73</v>
      </c>
      <c r="AA115" s="2"/>
      <c r="AB115" s="2"/>
      <c r="AC115" s="2"/>
      <c r="AE115" s="2"/>
      <c r="AI115" s="2"/>
      <c r="AJ115" s="2"/>
      <c r="AK115" s="2"/>
      <c r="AV115" s="2"/>
      <c r="AW115" s="2"/>
      <c r="AZ115" s="2"/>
      <c r="BA115" s="2"/>
      <c r="BE115" s="2"/>
      <c r="BF115" s="2"/>
      <c r="BH115" s="8"/>
      <c r="BM115" s="2"/>
      <c r="BN115" s="2"/>
      <c r="BV115" s="2"/>
      <c r="BW115" s="2"/>
      <c r="CI115" s="2"/>
      <c r="CJ115" s="2"/>
    </row>
    <row r="116" spans="1:88">
      <c r="A116" t="s">
        <v>74</v>
      </c>
      <c r="B116" t="s">
        <v>13</v>
      </c>
      <c r="C116" t="s">
        <v>139</v>
      </c>
      <c r="D116" t="s">
        <v>254</v>
      </c>
      <c r="E116" s="55">
        <v>40481</v>
      </c>
      <c r="F116" t="s">
        <v>9</v>
      </c>
      <c r="G116" s="2">
        <v>6.2251279934027581E-3</v>
      </c>
      <c r="J116">
        <v>1</v>
      </c>
      <c r="K116" t="s">
        <v>163</v>
      </c>
      <c r="L116" t="s">
        <v>73</v>
      </c>
      <c r="AA116" s="2"/>
      <c r="AB116" s="2"/>
      <c r="AC116" s="2"/>
      <c r="AE116" s="2"/>
      <c r="AI116" s="2"/>
      <c r="AJ116" s="2"/>
      <c r="AK116" s="2"/>
      <c r="AV116" s="2"/>
      <c r="AW116" s="2"/>
      <c r="AZ116" s="2"/>
      <c r="BA116" s="2"/>
      <c r="BE116" s="2"/>
      <c r="BF116" s="2"/>
      <c r="BM116" s="2"/>
      <c r="BN116" s="2"/>
      <c r="BV116" s="2"/>
      <c r="BW116" s="2"/>
      <c r="CI116" s="2"/>
      <c r="CJ116" s="2"/>
    </row>
    <row r="117" spans="1:88">
      <c r="A117" t="s">
        <v>74</v>
      </c>
      <c r="B117" t="s">
        <v>13</v>
      </c>
      <c r="C117" t="s">
        <v>139</v>
      </c>
      <c r="D117" t="s">
        <v>254</v>
      </c>
      <c r="E117" s="55">
        <v>40481</v>
      </c>
      <c r="F117" t="s">
        <v>9</v>
      </c>
      <c r="G117" s="2">
        <v>5.9499842146888329E-3</v>
      </c>
      <c r="J117">
        <v>1</v>
      </c>
      <c r="K117" t="s">
        <v>163</v>
      </c>
      <c r="L117" t="s">
        <v>73</v>
      </c>
      <c r="AA117" s="2"/>
      <c r="AB117" s="2"/>
      <c r="AC117" s="2"/>
      <c r="AE117" s="2"/>
      <c r="AI117" s="2"/>
      <c r="AJ117" s="2"/>
      <c r="AK117" s="2"/>
      <c r="AV117" s="2"/>
      <c r="AW117" s="2"/>
      <c r="AZ117" s="2"/>
      <c r="BA117" s="2"/>
      <c r="BE117" s="2"/>
      <c r="BF117" s="2"/>
      <c r="BH117" s="2"/>
      <c r="BI117" s="2"/>
      <c r="BJ117" s="2"/>
      <c r="BM117" s="2"/>
      <c r="BN117" s="2"/>
      <c r="BV117" s="2"/>
      <c r="BW117" s="2"/>
      <c r="CI117" s="2"/>
      <c r="CJ117" s="2"/>
    </row>
    <row r="118" spans="1:88">
      <c r="A118" t="s">
        <v>74</v>
      </c>
      <c r="B118" t="s">
        <v>13</v>
      </c>
      <c r="C118" t="s">
        <v>139</v>
      </c>
      <c r="D118" t="s">
        <v>254</v>
      </c>
      <c r="E118" s="55">
        <v>40481</v>
      </c>
      <c r="F118" t="s">
        <v>9</v>
      </c>
      <c r="G118" s="2">
        <v>7.4632749976154761E-3</v>
      </c>
      <c r="J118">
        <v>1</v>
      </c>
      <c r="K118" t="s">
        <v>163</v>
      </c>
      <c r="L118" t="s">
        <v>73</v>
      </c>
      <c r="AA118" s="2"/>
      <c r="AB118" s="2"/>
      <c r="AC118" s="2"/>
      <c r="AE118" s="2"/>
      <c r="AI118" s="2"/>
      <c r="AJ118" s="2"/>
      <c r="AK118" s="2"/>
      <c r="AV118" s="2"/>
      <c r="AW118" s="2"/>
      <c r="BE118" s="2"/>
      <c r="BF118" s="2"/>
      <c r="BM118" s="2"/>
      <c r="BN118" s="2"/>
      <c r="BV118" s="2"/>
      <c r="BW118" s="2"/>
      <c r="CI118" s="2"/>
      <c r="CJ118" s="2"/>
    </row>
    <row r="119" spans="1:88">
      <c r="A119" t="s">
        <v>74</v>
      </c>
      <c r="B119" t="s">
        <v>13</v>
      </c>
      <c r="C119" t="s">
        <v>139</v>
      </c>
      <c r="D119" t="s">
        <v>254</v>
      </c>
      <c r="E119" s="55">
        <v>40481</v>
      </c>
      <c r="F119" t="s">
        <v>9</v>
      </c>
      <c r="G119" s="2">
        <v>6.6378436614736649E-3</v>
      </c>
      <c r="J119">
        <v>1</v>
      </c>
      <c r="K119" t="s">
        <v>163</v>
      </c>
      <c r="L119" t="s">
        <v>73</v>
      </c>
      <c r="AA119" s="2"/>
      <c r="AB119" s="2"/>
      <c r="AC119" s="2"/>
      <c r="AE119" s="2"/>
      <c r="AI119" s="2"/>
      <c r="AJ119" s="2"/>
      <c r="AK119" s="2"/>
      <c r="BE119" s="2"/>
      <c r="BF119" s="2"/>
      <c r="BM119" s="2"/>
      <c r="BN119" s="2"/>
      <c r="BV119" s="2"/>
      <c r="BW119" s="2"/>
      <c r="CI119" s="2"/>
      <c r="CJ119" s="2"/>
    </row>
    <row r="120" spans="1:88">
      <c r="A120" t="s">
        <v>74</v>
      </c>
      <c r="B120" t="s">
        <v>13</v>
      </c>
      <c r="C120" t="s">
        <v>139</v>
      </c>
      <c r="D120" t="s">
        <v>254</v>
      </c>
      <c r="E120" s="55">
        <v>40481</v>
      </c>
      <c r="F120" t="s">
        <v>9</v>
      </c>
      <c r="G120" s="2">
        <v>6.1219490763850231E-3</v>
      </c>
      <c r="J120">
        <v>1</v>
      </c>
      <c r="K120" t="s">
        <v>163</v>
      </c>
      <c r="L120" t="s">
        <v>73</v>
      </c>
      <c r="AA120" s="2"/>
      <c r="AB120" s="2"/>
      <c r="AC120" s="2"/>
      <c r="AE120" s="2"/>
      <c r="AI120" s="2"/>
      <c r="AJ120" s="2"/>
      <c r="AK120" s="2"/>
      <c r="BE120" s="2"/>
      <c r="BF120" s="2"/>
      <c r="BM120" s="2"/>
      <c r="BN120" s="2"/>
      <c r="BV120" s="2"/>
      <c r="BW120" s="2"/>
      <c r="CI120" s="2"/>
      <c r="CJ120" s="2"/>
    </row>
    <row r="121" spans="1:88">
      <c r="A121" t="s">
        <v>74</v>
      </c>
      <c r="B121" t="s">
        <v>13</v>
      </c>
      <c r="C121" t="s">
        <v>139</v>
      </c>
      <c r="D121" t="s">
        <v>254</v>
      </c>
      <c r="E121" s="55">
        <v>40481</v>
      </c>
      <c r="F121" t="s">
        <v>9</v>
      </c>
      <c r="G121" s="2">
        <v>8.3918852507749876E-3</v>
      </c>
      <c r="J121">
        <v>1</v>
      </c>
      <c r="K121" t="s">
        <v>163</v>
      </c>
      <c r="L121" t="s">
        <v>73</v>
      </c>
      <c r="AA121" s="2"/>
      <c r="AB121" s="2"/>
      <c r="AC121" s="2"/>
      <c r="AE121" s="2"/>
      <c r="AI121" s="2"/>
      <c r="AJ121" s="2"/>
      <c r="AK121" s="2"/>
      <c r="BE121" s="2"/>
      <c r="BF121" s="2"/>
      <c r="BM121" s="2"/>
      <c r="BN121" s="2"/>
      <c r="BV121" s="2"/>
      <c r="BW121" s="2"/>
    </row>
    <row r="122" spans="1:88">
      <c r="A122" t="s">
        <v>74</v>
      </c>
      <c r="B122" t="s">
        <v>13</v>
      </c>
      <c r="C122" t="s">
        <v>139</v>
      </c>
      <c r="D122" t="s">
        <v>254</v>
      </c>
      <c r="E122" s="55">
        <v>40481</v>
      </c>
      <c r="F122" t="s">
        <v>9</v>
      </c>
      <c r="G122" s="2">
        <v>9.4924603656307231E-3</v>
      </c>
      <c r="J122">
        <v>1</v>
      </c>
      <c r="K122" t="s">
        <v>163</v>
      </c>
      <c r="L122" t="s">
        <v>73</v>
      </c>
      <c r="AA122" s="2"/>
      <c r="AB122" s="2"/>
      <c r="AC122" s="2"/>
      <c r="AE122" s="2"/>
      <c r="AI122" s="2"/>
      <c r="AJ122" s="2"/>
      <c r="AK122" s="2"/>
      <c r="BE122" s="2"/>
      <c r="BF122" s="2"/>
      <c r="BM122" s="2"/>
      <c r="BN122" s="2"/>
      <c r="BV122" s="2"/>
      <c r="BW122" s="2"/>
    </row>
    <row r="123" spans="1:88">
      <c r="A123" t="s">
        <v>74</v>
      </c>
      <c r="B123" t="s">
        <v>13</v>
      </c>
      <c r="C123" t="s">
        <v>139</v>
      </c>
      <c r="D123" t="s">
        <v>254</v>
      </c>
      <c r="E123" s="55">
        <v>40481</v>
      </c>
      <c r="F123" t="s">
        <v>9</v>
      </c>
      <c r="G123" s="2">
        <v>8.9077798358636294E-3</v>
      </c>
      <c r="J123">
        <v>1</v>
      </c>
      <c r="K123" t="s">
        <v>163</v>
      </c>
      <c r="L123" t="s">
        <v>73</v>
      </c>
      <c r="AA123" s="2"/>
      <c r="AB123" s="2"/>
      <c r="AC123" s="2"/>
      <c r="AE123" s="2"/>
      <c r="AI123" s="2"/>
      <c r="AJ123" s="2"/>
      <c r="AK123" s="2"/>
      <c r="BE123" s="2"/>
      <c r="BF123" s="2"/>
      <c r="BM123" s="2"/>
      <c r="BN123" s="2"/>
      <c r="BV123" s="2"/>
      <c r="BW123" s="2"/>
    </row>
    <row r="124" spans="1:88">
      <c r="A124" t="s">
        <v>74</v>
      </c>
      <c r="B124" t="s">
        <v>13</v>
      </c>
      <c r="C124" t="s">
        <v>139</v>
      </c>
      <c r="D124" t="s">
        <v>254</v>
      </c>
      <c r="E124" s="55">
        <v>40481</v>
      </c>
      <c r="F124" t="s">
        <v>9</v>
      </c>
      <c r="G124" s="2">
        <v>9.2861025315952896E-3</v>
      </c>
      <c r="J124">
        <v>1</v>
      </c>
      <c r="K124" t="s">
        <v>163</v>
      </c>
      <c r="L124" t="s">
        <v>73</v>
      </c>
      <c r="AA124" s="2"/>
      <c r="AB124" s="2"/>
      <c r="AC124" s="2"/>
      <c r="AE124" s="2"/>
      <c r="AI124" s="2"/>
      <c r="AJ124" s="2"/>
      <c r="AK124" s="2"/>
      <c r="BE124" s="2"/>
      <c r="BF124" s="2"/>
      <c r="BM124" s="2"/>
      <c r="BN124" s="2"/>
      <c r="BV124" s="2"/>
      <c r="BW124" s="2"/>
    </row>
    <row r="125" spans="1:88">
      <c r="A125" t="s">
        <v>74</v>
      </c>
      <c r="B125" t="s">
        <v>13</v>
      </c>
      <c r="C125" t="s">
        <v>139</v>
      </c>
      <c r="D125" t="s">
        <v>254</v>
      </c>
      <c r="E125" s="55">
        <v>40481</v>
      </c>
      <c r="F125" t="s">
        <v>9</v>
      </c>
      <c r="G125" s="2">
        <v>1.1177716010253592E-2</v>
      </c>
      <c r="J125">
        <v>1</v>
      </c>
      <c r="K125" t="s">
        <v>163</v>
      </c>
      <c r="L125" t="s">
        <v>73</v>
      </c>
      <c r="AA125" s="2"/>
      <c r="AB125" s="2"/>
      <c r="AC125" s="2"/>
      <c r="AE125" s="2"/>
      <c r="AI125" s="2"/>
      <c r="AJ125" s="2"/>
      <c r="AK125" s="2"/>
      <c r="BE125" s="2"/>
      <c r="BF125" s="2"/>
      <c r="BM125" s="2"/>
      <c r="BN125" s="2"/>
      <c r="BV125" s="2"/>
      <c r="BW125" s="2"/>
    </row>
    <row r="126" spans="1:88">
      <c r="A126" t="s">
        <v>74</v>
      </c>
      <c r="B126" t="s">
        <v>13</v>
      </c>
      <c r="C126" t="s">
        <v>139</v>
      </c>
      <c r="D126" t="s">
        <v>254</v>
      </c>
      <c r="E126" s="55">
        <v>40481</v>
      </c>
      <c r="F126" t="s">
        <v>9</v>
      </c>
      <c r="G126" s="2">
        <v>1.3241294350608121E-2</v>
      </c>
      <c r="J126">
        <v>1</v>
      </c>
      <c r="K126" t="s">
        <v>163</v>
      </c>
      <c r="L126" t="s">
        <v>73</v>
      </c>
      <c r="AA126" s="2"/>
      <c r="AB126" s="2"/>
      <c r="AC126" s="2"/>
      <c r="AE126" s="2"/>
      <c r="AI126" s="2"/>
      <c r="AJ126" s="2"/>
      <c r="AK126" s="2"/>
      <c r="BE126" s="2"/>
      <c r="BF126" s="2"/>
      <c r="BM126" s="2"/>
      <c r="BN126" s="2"/>
      <c r="BV126" s="2"/>
      <c r="BW126" s="2"/>
    </row>
    <row r="127" spans="1:88">
      <c r="A127" t="s">
        <v>74</v>
      </c>
      <c r="B127" t="s">
        <v>13</v>
      </c>
      <c r="C127" t="s">
        <v>139</v>
      </c>
      <c r="D127" t="s">
        <v>254</v>
      </c>
      <c r="E127" s="55">
        <v>40481</v>
      </c>
      <c r="F127" t="s">
        <v>9</v>
      </c>
      <c r="G127" s="2">
        <v>1.7677987782370317E-2</v>
      </c>
      <c r="J127">
        <v>1</v>
      </c>
      <c r="K127" t="s">
        <v>163</v>
      </c>
      <c r="L127" t="s">
        <v>73</v>
      </c>
      <c r="AA127" s="2"/>
      <c r="AB127" s="2"/>
      <c r="AC127" s="2"/>
      <c r="AE127" s="2"/>
      <c r="AI127" s="2"/>
      <c r="AJ127" s="2"/>
      <c r="AK127" s="2"/>
      <c r="BE127" s="2"/>
      <c r="BF127" s="2"/>
      <c r="BH127" s="8"/>
      <c r="BM127" s="2"/>
      <c r="BN127" s="2"/>
      <c r="BV127" s="2"/>
      <c r="BW127" s="2"/>
    </row>
    <row r="128" spans="1:88">
      <c r="A128" t="s">
        <v>74</v>
      </c>
      <c r="B128" t="s">
        <v>13</v>
      </c>
      <c r="C128" t="s">
        <v>139</v>
      </c>
      <c r="D128" t="s">
        <v>254</v>
      </c>
      <c r="E128" s="55">
        <v>40481</v>
      </c>
      <c r="F128" t="s">
        <v>9</v>
      </c>
      <c r="G128" s="2">
        <v>1.0111533867737102E-2</v>
      </c>
      <c r="J128">
        <v>1</v>
      </c>
      <c r="K128" t="s">
        <v>163</v>
      </c>
      <c r="L128" t="s">
        <v>73</v>
      </c>
      <c r="AA128" s="2"/>
      <c r="AB128" s="2"/>
      <c r="AC128" s="2"/>
      <c r="AE128" s="2"/>
      <c r="AI128" s="2"/>
      <c r="AJ128" s="2"/>
      <c r="AK128" s="2"/>
      <c r="BE128" s="2"/>
      <c r="BF128" s="2"/>
      <c r="BM128" s="2"/>
      <c r="BN128" s="2"/>
      <c r="BV128" s="2"/>
      <c r="BW128" s="2"/>
    </row>
    <row r="129" spans="1:79">
      <c r="A129" t="s">
        <v>74</v>
      </c>
      <c r="B129" t="s">
        <v>13</v>
      </c>
      <c r="C129" t="s">
        <v>139</v>
      </c>
      <c r="D129" t="s">
        <v>254</v>
      </c>
      <c r="E129" s="55">
        <v>40481</v>
      </c>
      <c r="F129" t="s">
        <v>9</v>
      </c>
      <c r="G129" s="2">
        <v>6.8785944678483833E-3</v>
      </c>
      <c r="J129">
        <v>1</v>
      </c>
      <c r="K129" t="s">
        <v>163</v>
      </c>
      <c r="L129" t="s">
        <v>73</v>
      </c>
      <c r="AA129" s="2"/>
      <c r="AB129" s="2"/>
      <c r="AC129" s="2"/>
      <c r="AE129" s="2"/>
      <c r="AI129" s="2"/>
      <c r="BE129" s="2"/>
      <c r="BF129" s="2"/>
      <c r="BH129" s="2"/>
      <c r="BI129" s="2"/>
      <c r="BJ129" s="2"/>
      <c r="BM129" s="2"/>
      <c r="BN129" s="2"/>
      <c r="BV129" s="2"/>
      <c r="BW129" s="2"/>
    </row>
    <row r="130" spans="1:79">
      <c r="A130" t="s">
        <v>74</v>
      </c>
      <c r="B130" t="s">
        <v>13</v>
      </c>
      <c r="C130" t="s">
        <v>139</v>
      </c>
      <c r="D130" t="s">
        <v>254</v>
      </c>
      <c r="E130" s="55">
        <v>40481</v>
      </c>
      <c r="F130" t="s">
        <v>9</v>
      </c>
      <c r="G130" s="2">
        <v>1.5923946193068955E-2</v>
      </c>
      <c r="J130">
        <v>1</v>
      </c>
      <c r="K130" t="s">
        <v>163</v>
      </c>
      <c r="L130" t="s">
        <v>73</v>
      </c>
      <c r="AA130" s="2"/>
      <c r="AB130" s="2"/>
      <c r="AC130" s="2"/>
      <c r="AE130" s="2"/>
      <c r="AI130" s="2"/>
      <c r="BE130" s="2"/>
      <c r="BF130" s="2"/>
      <c r="BM130" s="2"/>
      <c r="BN130" s="2"/>
      <c r="BV130" s="2"/>
      <c r="BW130" s="2"/>
    </row>
    <row r="131" spans="1:79">
      <c r="A131" t="s">
        <v>74</v>
      </c>
      <c r="B131" t="s">
        <v>13</v>
      </c>
      <c r="C131" t="s">
        <v>139</v>
      </c>
      <c r="D131" t="s">
        <v>254</v>
      </c>
      <c r="E131" s="55">
        <v>40481</v>
      </c>
      <c r="F131" t="s">
        <v>9</v>
      </c>
      <c r="G131" s="2">
        <v>1.0902572231539667E-2</v>
      </c>
      <c r="J131">
        <v>1</v>
      </c>
      <c r="K131" t="s">
        <v>163</v>
      </c>
      <c r="L131" t="s">
        <v>73</v>
      </c>
      <c r="AA131" s="2"/>
      <c r="AB131" s="2"/>
      <c r="AC131" s="2"/>
      <c r="AE131" s="2"/>
      <c r="AJ131" s="2"/>
      <c r="BE131" s="2"/>
      <c r="BF131" s="2"/>
      <c r="BM131" s="2"/>
      <c r="BN131" s="2"/>
      <c r="BV131" s="2"/>
      <c r="BW131" s="2"/>
    </row>
    <row r="132" spans="1:79">
      <c r="A132" s="3" t="s">
        <v>74</v>
      </c>
      <c r="B132" s="3" t="s">
        <v>13</v>
      </c>
      <c r="C132" s="3" t="s">
        <v>74</v>
      </c>
      <c r="D132" s="3"/>
      <c r="E132" s="54">
        <v>38565</v>
      </c>
      <c r="F132" s="3" t="s">
        <v>9</v>
      </c>
      <c r="G132" s="4">
        <v>9.8399272151561992E-5</v>
      </c>
      <c r="H132" s="4"/>
      <c r="I132" s="4"/>
      <c r="J132" s="3">
        <v>1</v>
      </c>
      <c r="K132" s="3" t="s">
        <v>163</v>
      </c>
      <c r="L132" s="3" t="s">
        <v>22</v>
      </c>
      <c r="AA132" s="2"/>
      <c r="AB132" s="2"/>
      <c r="AC132" s="2"/>
      <c r="AE132" s="2"/>
      <c r="AJ132" s="2"/>
      <c r="BE132" s="2"/>
      <c r="BF132" s="2"/>
      <c r="BM132" s="2"/>
      <c r="BN132" s="2"/>
      <c r="BV132" s="2"/>
      <c r="BW132" s="2"/>
    </row>
    <row r="133" spans="1:79">
      <c r="A133" t="s">
        <v>74</v>
      </c>
      <c r="B133" t="s">
        <v>13</v>
      </c>
      <c r="C133" t="s">
        <v>74</v>
      </c>
      <c r="E133" s="55">
        <v>38565</v>
      </c>
      <c r="F133" t="s">
        <v>9</v>
      </c>
      <c r="G133" s="2">
        <v>4.2008920033936089E-4</v>
      </c>
      <c r="J133">
        <v>1</v>
      </c>
      <c r="K133" t="s">
        <v>163</v>
      </c>
      <c r="L133" t="s">
        <v>22</v>
      </c>
      <c r="AB133" s="2"/>
      <c r="AE133" s="2"/>
      <c r="AJ133" s="2"/>
      <c r="BE133" s="2"/>
      <c r="BF133" s="2"/>
      <c r="BM133" s="2"/>
      <c r="BN133" s="2"/>
      <c r="BV133" s="2"/>
      <c r="BW133" s="2"/>
    </row>
    <row r="134" spans="1:79">
      <c r="A134" t="s">
        <v>74</v>
      </c>
      <c r="B134" t="s">
        <v>13</v>
      </c>
      <c r="C134" t="s">
        <v>74</v>
      </c>
      <c r="E134" s="55">
        <v>38565</v>
      </c>
      <c r="F134" t="s">
        <v>9</v>
      </c>
      <c r="G134" s="2">
        <v>5.3892524439932404E-3</v>
      </c>
      <c r="J134">
        <v>1</v>
      </c>
      <c r="K134" t="s">
        <v>163</v>
      </c>
      <c r="L134" t="s">
        <v>22</v>
      </c>
      <c r="AE134" s="2"/>
      <c r="AJ134" s="2"/>
      <c r="BE134" s="2"/>
      <c r="BF134" s="2"/>
      <c r="BM134" s="2"/>
      <c r="BN134" s="2"/>
      <c r="BV134" s="2"/>
      <c r="BW134" s="2"/>
    </row>
    <row r="135" spans="1:79">
      <c r="A135" t="s">
        <v>74</v>
      </c>
      <c r="B135" t="s">
        <v>13</v>
      </c>
      <c r="C135" t="s">
        <v>74</v>
      </c>
      <c r="E135" s="55">
        <v>38565</v>
      </c>
      <c r="F135" t="s">
        <v>9</v>
      </c>
      <c r="G135" s="2">
        <v>1.4445770069327389E-2</v>
      </c>
      <c r="J135">
        <v>1</v>
      </c>
      <c r="K135" t="s">
        <v>163</v>
      </c>
      <c r="L135" t="s">
        <v>22</v>
      </c>
      <c r="AE135" s="2"/>
      <c r="AJ135" s="2"/>
      <c r="BE135" s="2"/>
      <c r="BF135" s="2"/>
      <c r="BM135" s="2"/>
      <c r="BN135" s="2"/>
      <c r="BV135" s="2"/>
      <c r="BW135" s="2"/>
    </row>
    <row r="136" spans="1:79">
      <c r="A136" t="s">
        <v>74</v>
      </c>
      <c r="B136" t="s">
        <v>13</v>
      </c>
      <c r="C136" t="s">
        <v>74</v>
      </c>
      <c r="E136" s="55">
        <v>38565</v>
      </c>
      <c r="F136" t="s">
        <v>9</v>
      </c>
      <c r="G136" s="2">
        <v>9.8437118025466452E-3</v>
      </c>
      <c r="J136">
        <v>1</v>
      </c>
      <c r="K136" t="s">
        <v>163</v>
      </c>
      <c r="L136" t="s">
        <v>22</v>
      </c>
      <c r="AF136" s="2"/>
      <c r="AK136" s="2"/>
      <c r="BE136" s="2"/>
      <c r="BF136" s="2"/>
      <c r="BM136" s="2"/>
      <c r="BN136" s="2"/>
      <c r="BV136" s="2"/>
      <c r="BW136" s="2"/>
    </row>
    <row r="137" spans="1:79">
      <c r="A137" t="s">
        <v>74</v>
      </c>
      <c r="B137" t="s">
        <v>13</v>
      </c>
      <c r="C137" t="s">
        <v>74</v>
      </c>
      <c r="E137" s="55">
        <v>38565</v>
      </c>
      <c r="F137" t="s">
        <v>9</v>
      </c>
      <c r="G137" s="2">
        <v>1.1679236686912318E-2</v>
      </c>
      <c r="J137">
        <v>1</v>
      </c>
      <c r="K137" t="s">
        <v>163</v>
      </c>
      <c r="L137" t="s">
        <v>22</v>
      </c>
      <c r="AF137" s="2"/>
      <c r="AK137" s="2"/>
      <c r="BE137" s="2"/>
      <c r="BF137" s="2"/>
      <c r="BM137" s="2"/>
      <c r="BN137" s="2"/>
      <c r="BV137" s="2"/>
      <c r="BW137" s="2"/>
    </row>
    <row r="138" spans="1:79">
      <c r="A138" s="7" t="s">
        <v>74</v>
      </c>
      <c r="B138" s="7" t="s">
        <v>13</v>
      </c>
      <c r="C138" s="7" t="s">
        <v>137</v>
      </c>
      <c r="D138" s="7"/>
      <c r="E138" s="56">
        <v>38565</v>
      </c>
      <c r="F138" s="7" t="s">
        <v>9</v>
      </c>
      <c r="G138" s="11">
        <v>5.9872172516835026E-3</v>
      </c>
      <c r="H138" s="11"/>
      <c r="I138" s="11"/>
      <c r="J138" s="7">
        <v>1</v>
      </c>
      <c r="K138" s="7" t="s">
        <v>163</v>
      </c>
      <c r="L138" s="7" t="s">
        <v>22</v>
      </c>
      <c r="AF138" s="2"/>
      <c r="AK138" s="2"/>
      <c r="BE138" s="2"/>
      <c r="BF138" s="2"/>
      <c r="BV138" s="2"/>
      <c r="BW138" s="2"/>
    </row>
    <row r="139" spans="1:79">
      <c r="A139" t="s">
        <v>246</v>
      </c>
      <c r="B139" t="s">
        <v>13</v>
      </c>
      <c r="C139" t="s">
        <v>134</v>
      </c>
      <c r="E139" s="55">
        <v>38565</v>
      </c>
      <c r="F139" t="s">
        <v>9</v>
      </c>
      <c r="G139" s="2">
        <v>1.3635868367772227E-2</v>
      </c>
      <c r="J139">
        <v>1</v>
      </c>
      <c r="K139" t="s">
        <v>163</v>
      </c>
      <c r="L139" t="s">
        <v>22</v>
      </c>
      <c r="AF139" s="2"/>
      <c r="AK139" s="2"/>
      <c r="BE139" s="2"/>
      <c r="BF139" s="2"/>
      <c r="BV139" s="2"/>
      <c r="BW139" s="2"/>
    </row>
    <row r="140" spans="1:79">
      <c r="A140" t="s">
        <v>246</v>
      </c>
      <c r="B140" t="s">
        <v>13</v>
      </c>
      <c r="C140" t="s">
        <v>134</v>
      </c>
      <c r="E140" s="55">
        <v>38565</v>
      </c>
      <c r="F140" t="s">
        <v>9</v>
      </c>
      <c r="G140" s="2">
        <v>9.1397785479239296E-3</v>
      </c>
      <c r="J140">
        <v>1</v>
      </c>
      <c r="K140" t="s">
        <v>163</v>
      </c>
      <c r="L140" t="s">
        <v>22</v>
      </c>
      <c r="AF140" s="2"/>
      <c r="AK140" s="2"/>
      <c r="BE140" s="2"/>
      <c r="BF140" s="2"/>
      <c r="BV140" s="2"/>
      <c r="BW140" s="2"/>
    </row>
    <row r="141" spans="1:79">
      <c r="A141" s="11" t="s">
        <v>246</v>
      </c>
      <c r="B141" s="7" t="s">
        <v>13</v>
      </c>
      <c r="C141" s="7" t="s">
        <v>134</v>
      </c>
      <c r="D141" s="7"/>
      <c r="E141" s="56">
        <v>38565</v>
      </c>
      <c r="F141" s="7" t="s">
        <v>9</v>
      </c>
      <c r="G141" s="11">
        <v>1.0661182678882697E-2</v>
      </c>
      <c r="H141" s="11"/>
      <c r="I141" s="11"/>
      <c r="J141" s="7">
        <v>1</v>
      </c>
      <c r="K141" s="7" t="s">
        <v>163</v>
      </c>
      <c r="L141" s="7" t="s">
        <v>22</v>
      </c>
      <c r="AF141" s="2"/>
      <c r="AK141" s="2"/>
      <c r="BE141" s="2"/>
      <c r="BF141" s="2"/>
      <c r="BV141" s="2"/>
      <c r="BW141" s="2"/>
    </row>
    <row r="142" spans="1:79">
      <c r="A142" t="s">
        <v>246</v>
      </c>
      <c r="B142" t="s">
        <v>13</v>
      </c>
      <c r="C142" t="s">
        <v>135</v>
      </c>
      <c r="E142" s="55">
        <v>38565</v>
      </c>
      <c r="F142" t="s">
        <v>9</v>
      </c>
      <c r="G142" s="2">
        <v>8.4017840067872156E-3</v>
      </c>
      <c r="J142">
        <v>1</v>
      </c>
      <c r="K142" t="s">
        <v>163</v>
      </c>
      <c r="L142" t="s">
        <v>22</v>
      </c>
      <c r="AF142" s="2"/>
      <c r="AK142" s="2"/>
      <c r="BE142" s="2"/>
      <c r="BF142" s="2"/>
      <c r="BV142" s="2"/>
      <c r="BW142" s="2"/>
      <c r="BY142" s="8"/>
    </row>
    <row r="143" spans="1:79">
      <c r="A143" t="s">
        <v>246</v>
      </c>
      <c r="B143" t="s">
        <v>13</v>
      </c>
      <c r="C143" t="s">
        <v>135</v>
      </c>
      <c r="E143" s="55">
        <v>38565</v>
      </c>
      <c r="F143" t="s">
        <v>9</v>
      </c>
      <c r="G143" s="2">
        <v>9.1397785479239296E-3</v>
      </c>
      <c r="J143">
        <v>1</v>
      </c>
      <c r="K143" t="s">
        <v>163</v>
      </c>
      <c r="L143" t="s">
        <v>22</v>
      </c>
      <c r="AF143" s="2"/>
      <c r="AK143" s="2"/>
      <c r="BE143" s="2"/>
      <c r="BF143" s="2"/>
      <c r="BV143" s="2"/>
      <c r="BW143" s="2"/>
    </row>
    <row r="144" spans="1:79">
      <c r="A144" s="2" t="s">
        <v>246</v>
      </c>
      <c r="B144" t="s">
        <v>13</v>
      </c>
      <c r="C144" t="s">
        <v>135</v>
      </c>
      <c r="E144" s="55">
        <v>38565</v>
      </c>
      <c r="F144" t="s">
        <v>9</v>
      </c>
      <c r="G144" s="2">
        <v>9.1132864361908178E-3</v>
      </c>
      <c r="J144">
        <v>1</v>
      </c>
      <c r="K144" t="s">
        <v>163</v>
      </c>
      <c r="L144" t="s">
        <v>22</v>
      </c>
      <c r="AF144" s="2"/>
      <c r="AK144" s="2"/>
      <c r="BE144" s="2"/>
      <c r="BF144" s="2"/>
      <c r="BV144" s="2"/>
      <c r="BW144" s="2"/>
      <c r="BY144" s="2"/>
      <c r="BZ144" s="2"/>
      <c r="CA144" s="2"/>
    </row>
    <row r="145" spans="1:79">
      <c r="A145" t="s">
        <v>246</v>
      </c>
      <c r="B145" t="s">
        <v>13</v>
      </c>
      <c r="C145" t="s">
        <v>135</v>
      </c>
      <c r="E145" s="55">
        <v>38565</v>
      </c>
      <c r="F145" t="s">
        <v>9</v>
      </c>
      <c r="G145" s="2">
        <v>7.5351134943753822E-3</v>
      </c>
      <c r="J145">
        <v>1</v>
      </c>
      <c r="K145" t="s">
        <v>163</v>
      </c>
      <c r="L145" t="s">
        <v>22</v>
      </c>
      <c r="AF145" s="2"/>
      <c r="AK145" s="2"/>
      <c r="BE145" s="2"/>
      <c r="BF145" s="2"/>
      <c r="BV145" s="2"/>
      <c r="BW145" s="2"/>
    </row>
    <row r="146" spans="1:79">
      <c r="A146" t="s">
        <v>246</v>
      </c>
      <c r="B146" t="s">
        <v>13</v>
      </c>
      <c r="C146" t="s">
        <v>135</v>
      </c>
      <c r="E146" s="55">
        <v>38565</v>
      </c>
      <c r="F146" t="s">
        <v>9</v>
      </c>
      <c r="G146" s="2">
        <v>8.7953810953934636E-3</v>
      </c>
      <c r="J146">
        <v>1</v>
      </c>
      <c r="K146" t="s">
        <v>163</v>
      </c>
      <c r="L146" t="s">
        <v>22</v>
      </c>
      <c r="AF146" s="2"/>
      <c r="AK146" s="2"/>
      <c r="BE146" s="2"/>
      <c r="BF146" s="2"/>
      <c r="BV146" s="2"/>
      <c r="BW146" s="2"/>
    </row>
    <row r="147" spans="1:79">
      <c r="A147" t="s">
        <v>246</v>
      </c>
      <c r="B147" t="s">
        <v>13</v>
      </c>
      <c r="C147" t="s">
        <v>135</v>
      </c>
      <c r="E147" s="55">
        <v>38565</v>
      </c>
      <c r="F147" t="s">
        <v>9</v>
      </c>
      <c r="G147" s="2">
        <v>5.8358337560657147E-3</v>
      </c>
      <c r="J147">
        <v>1</v>
      </c>
      <c r="K147" t="s">
        <v>163</v>
      </c>
      <c r="L147" t="s">
        <v>22</v>
      </c>
      <c r="AF147" s="2"/>
      <c r="AK147" s="2"/>
      <c r="BE147" s="2"/>
      <c r="BF147" s="2"/>
      <c r="BV147" s="2"/>
      <c r="BW147" s="2"/>
      <c r="BY147" s="8"/>
    </row>
    <row r="148" spans="1:79">
      <c r="A148" t="s">
        <v>246</v>
      </c>
      <c r="B148" t="s">
        <v>13</v>
      </c>
      <c r="C148" t="s">
        <v>135</v>
      </c>
      <c r="E148" s="55">
        <v>38565</v>
      </c>
      <c r="F148" t="s">
        <v>9</v>
      </c>
      <c r="G148" s="2">
        <v>1.9679854430312398E-4</v>
      </c>
      <c r="J148">
        <v>1</v>
      </c>
      <c r="K148" t="s">
        <v>163</v>
      </c>
      <c r="L148" t="s">
        <v>22</v>
      </c>
      <c r="AF148" s="2"/>
      <c r="AK148" s="2"/>
      <c r="BV148" s="2"/>
      <c r="BW148" s="2"/>
    </row>
    <row r="149" spans="1:79">
      <c r="A149" t="s">
        <v>246</v>
      </c>
      <c r="B149" t="s">
        <v>13</v>
      </c>
      <c r="C149" t="s">
        <v>135</v>
      </c>
      <c r="E149" s="55">
        <v>38565</v>
      </c>
      <c r="F149" t="s">
        <v>9</v>
      </c>
      <c r="G149" s="2">
        <v>9.4879605878448441E-3</v>
      </c>
      <c r="J149">
        <v>1</v>
      </c>
      <c r="K149" t="s">
        <v>163</v>
      </c>
      <c r="L149" t="s">
        <v>22</v>
      </c>
      <c r="AF149" s="2"/>
      <c r="AK149" s="2"/>
      <c r="BV149" s="2"/>
      <c r="BW149" s="2"/>
      <c r="BY149" s="2"/>
      <c r="BZ149" s="2"/>
      <c r="CA149" s="2"/>
    </row>
    <row r="150" spans="1:79">
      <c r="A150" t="s">
        <v>246</v>
      </c>
      <c r="B150" t="s">
        <v>13</v>
      </c>
      <c r="C150" t="s">
        <v>135</v>
      </c>
      <c r="E150" s="55">
        <v>38565</v>
      </c>
      <c r="F150" t="s">
        <v>9</v>
      </c>
      <c r="G150" s="2">
        <v>7.8454496603918462E-3</v>
      </c>
      <c r="J150">
        <v>1</v>
      </c>
      <c r="K150" t="s">
        <v>163</v>
      </c>
      <c r="L150" t="s">
        <v>22</v>
      </c>
      <c r="AF150" s="2"/>
      <c r="AK150" s="2"/>
      <c r="BV150" s="2"/>
      <c r="BW150" s="2"/>
    </row>
    <row r="151" spans="1:79">
      <c r="A151" t="s">
        <v>246</v>
      </c>
      <c r="B151" t="s">
        <v>13</v>
      </c>
      <c r="C151" t="s">
        <v>135</v>
      </c>
      <c r="E151" s="55">
        <v>38565</v>
      </c>
      <c r="F151" t="s">
        <v>9</v>
      </c>
      <c r="G151" s="2">
        <v>9.6166365591199635E-3</v>
      </c>
      <c r="J151">
        <v>1</v>
      </c>
      <c r="K151" t="s">
        <v>163</v>
      </c>
      <c r="L151" t="s">
        <v>22</v>
      </c>
      <c r="AF151" s="2"/>
      <c r="AK151" s="2"/>
      <c r="BV151" s="2"/>
      <c r="BW151" s="2"/>
    </row>
    <row r="152" spans="1:79">
      <c r="A152" t="s">
        <v>246</v>
      </c>
      <c r="B152" t="s">
        <v>13</v>
      </c>
      <c r="C152" t="s">
        <v>135</v>
      </c>
      <c r="E152" s="55">
        <v>38565</v>
      </c>
      <c r="F152" t="s">
        <v>9</v>
      </c>
      <c r="G152" s="2">
        <v>1.1232655374839846E-2</v>
      </c>
      <c r="J152">
        <v>1</v>
      </c>
      <c r="K152" t="s">
        <v>163</v>
      </c>
      <c r="L152" t="s">
        <v>22</v>
      </c>
      <c r="AF152" s="2"/>
      <c r="AK152" s="2"/>
      <c r="BV152" s="2"/>
      <c r="BW152" s="2"/>
    </row>
    <row r="153" spans="1:79">
      <c r="A153" s="7" t="s">
        <v>246</v>
      </c>
      <c r="B153" s="7" t="s">
        <v>13</v>
      </c>
      <c r="C153" s="7" t="s">
        <v>135</v>
      </c>
      <c r="D153" s="7"/>
      <c r="E153" s="56">
        <v>38565</v>
      </c>
      <c r="F153" s="7" t="s">
        <v>9</v>
      </c>
      <c r="G153" s="11">
        <v>8.927841654059028E-3</v>
      </c>
      <c r="H153" s="11"/>
      <c r="I153" s="11"/>
      <c r="J153" s="7">
        <v>1</v>
      </c>
      <c r="K153" s="7" t="s">
        <v>163</v>
      </c>
      <c r="L153" s="7" t="s">
        <v>22</v>
      </c>
      <c r="AF153" s="2"/>
      <c r="AK153" s="2"/>
      <c r="BV153" s="2"/>
      <c r="BW153" s="2"/>
    </row>
    <row r="154" spans="1:79">
      <c r="A154" t="s">
        <v>136</v>
      </c>
      <c r="B154" t="s">
        <v>13</v>
      </c>
      <c r="C154" t="s">
        <v>136</v>
      </c>
      <c r="E154" s="55">
        <v>38565</v>
      </c>
      <c r="F154" t="s">
        <v>9</v>
      </c>
      <c r="G154" s="2">
        <v>7.4404988096142639E-3</v>
      </c>
      <c r="J154">
        <v>1</v>
      </c>
      <c r="K154" t="s">
        <v>163</v>
      </c>
      <c r="L154" t="s">
        <v>22</v>
      </c>
      <c r="AF154" s="2"/>
      <c r="AK154" s="2"/>
      <c r="BV154" s="2"/>
      <c r="BW154" s="2"/>
      <c r="BY154" s="8"/>
    </row>
    <row r="155" spans="1:79">
      <c r="A155" t="s">
        <v>136</v>
      </c>
      <c r="B155" t="s">
        <v>13</v>
      </c>
      <c r="C155" t="s">
        <v>136</v>
      </c>
      <c r="E155" s="55">
        <v>38565</v>
      </c>
      <c r="F155" t="s">
        <v>9</v>
      </c>
      <c r="G155" s="2">
        <v>6.8198264775813349E-3</v>
      </c>
      <c r="J155">
        <v>1</v>
      </c>
      <c r="K155" t="s">
        <v>163</v>
      </c>
      <c r="L155" t="s">
        <v>22</v>
      </c>
      <c r="AF155" s="2"/>
      <c r="AK155" s="2"/>
      <c r="BV155" s="2"/>
      <c r="BW155" s="2"/>
    </row>
    <row r="156" spans="1:79">
      <c r="A156" t="s">
        <v>136</v>
      </c>
      <c r="B156" t="s">
        <v>13</v>
      </c>
      <c r="C156" t="s">
        <v>136</v>
      </c>
      <c r="E156" s="55">
        <v>38565</v>
      </c>
      <c r="F156" t="s">
        <v>9</v>
      </c>
      <c r="G156" s="2">
        <v>5.0713471031958875E-4</v>
      </c>
      <c r="J156">
        <v>1</v>
      </c>
      <c r="K156" t="s">
        <v>163</v>
      </c>
      <c r="L156" t="s">
        <v>22</v>
      </c>
      <c r="AK156" s="2"/>
      <c r="BV156" s="2"/>
      <c r="BW156" s="2"/>
      <c r="BY156" s="2"/>
      <c r="BZ156" s="2"/>
      <c r="CA156" s="2"/>
    </row>
    <row r="157" spans="1:79">
      <c r="A157" t="s">
        <v>136</v>
      </c>
      <c r="B157" t="s">
        <v>13</v>
      </c>
      <c r="C157" t="s">
        <v>136</v>
      </c>
      <c r="E157" s="55">
        <v>38565</v>
      </c>
      <c r="F157" t="s">
        <v>9</v>
      </c>
      <c r="G157" s="2">
        <v>7.5388980817658264E-3</v>
      </c>
      <c r="J157">
        <v>1</v>
      </c>
      <c r="K157" t="s">
        <v>163</v>
      </c>
      <c r="L157" t="s">
        <v>22</v>
      </c>
      <c r="AK157" s="2"/>
      <c r="BV157" s="2"/>
      <c r="BW157" s="2"/>
    </row>
    <row r="158" spans="1:79">
      <c r="A158" t="s">
        <v>136</v>
      </c>
      <c r="B158" t="s">
        <v>13</v>
      </c>
      <c r="C158" t="s">
        <v>136</v>
      </c>
      <c r="E158" s="55">
        <v>38565</v>
      </c>
      <c r="F158" t="s">
        <v>9</v>
      </c>
      <c r="G158" s="2">
        <v>8.8937803675450268E-4</v>
      </c>
      <c r="J158">
        <v>1</v>
      </c>
      <c r="K158" t="s">
        <v>163</v>
      </c>
      <c r="L158" t="s">
        <v>22</v>
      </c>
      <c r="AK158" s="2"/>
      <c r="BV158" s="2"/>
      <c r="BW158" s="2"/>
    </row>
    <row r="159" spans="1:79">
      <c r="A159" t="s">
        <v>136</v>
      </c>
      <c r="B159" t="s">
        <v>13</v>
      </c>
      <c r="C159" t="s">
        <v>136</v>
      </c>
      <c r="E159" s="55">
        <v>38565</v>
      </c>
      <c r="F159" t="s">
        <v>9</v>
      </c>
      <c r="G159" s="2">
        <v>4.8064259858647589E-4</v>
      </c>
      <c r="J159">
        <v>1</v>
      </c>
      <c r="K159" t="s">
        <v>163</v>
      </c>
      <c r="L159" t="s">
        <v>22</v>
      </c>
      <c r="AK159" s="2"/>
      <c r="BV159" s="2"/>
      <c r="BW159" s="2"/>
    </row>
    <row r="160" spans="1:79">
      <c r="A160" t="s">
        <v>136</v>
      </c>
      <c r="B160" t="s">
        <v>13</v>
      </c>
      <c r="C160" t="s">
        <v>136</v>
      </c>
      <c r="E160" s="55">
        <v>38565</v>
      </c>
      <c r="F160" t="s">
        <v>9</v>
      </c>
      <c r="G160" s="2">
        <v>8.7575352214890167E-3</v>
      </c>
      <c r="J160">
        <v>1</v>
      </c>
      <c r="K160" t="s">
        <v>163</v>
      </c>
      <c r="L160" t="s">
        <v>22</v>
      </c>
      <c r="AK160" s="2"/>
      <c r="BV160" s="2"/>
      <c r="BW160" s="2"/>
    </row>
    <row r="161" spans="1:75">
      <c r="A161" t="s">
        <v>136</v>
      </c>
      <c r="B161" t="s">
        <v>13</v>
      </c>
      <c r="C161" t="s">
        <v>136</v>
      </c>
      <c r="E161" s="55">
        <v>38565</v>
      </c>
      <c r="F161" t="s">
        <v>9</v>
      </c>
      <c r="G161" s="2">
        <v>1.0384907799380234E-2</v>
      </c>
      <c r="J161">
        <v>1</v>
      </c>
      <c r="K161" t="s">
        <v>163</v>
      </c>
      <c r="L161" t="s">
        <v>22</v>
      </c>
      <c r="AK161" s="2"/>
      <c r="BV161" s="2"/>
      <c r="BW161" s="2"/>
    </row>
    <row r="162" spans="1:75">
      <c r="A162" t="s">
        <v>136</v>
      </c>
      <c r="B162" t="s">
        <v>13</v>
      </c>
      <c r="C162" t="s">
        <v>136</v>
      </c>
      <c r="E162" s="55">
        <v>38565</v>
      </c>
      <c r="F162" t="s">
        <v>9</v>
      </c>
      <c r="G162" s="2">
        <v>2.5659502507215009E-3</v>
      </c>
      <c r="J162">
        <v>1</v>
      </c>
      <c r="K162" t="s">
        <v>163</v>
      </c>
      <c r="L162" t="s">
        <v>22</v>
      </c>
      <c r="AK162" s="2"/>
      <c r="BW162" s="2"/>
    </row>
    <row r="163" spans="1:75">
      <c r="A163" t="s">
        <v>136</v>
      </c>
      <c r="B163" t="s">
        <v>13</v>
      </c>
      <c r="C163" t="s">
        <v>136</v>
      </c>
      <c r="E163" s="55">
        <v>38565</v>
      </c>
      <c r="F163" t="s">
        <v>9</v>
      </c>
      <c r="G163" s="2">
        <v>6.5473361854693167E-4</v>
      </c>
      <c r="J163">
        <v>1</v>
      </c>
      <c r="K163" t="s">
        <v>163</v>
      </c>
      <c r="L163" t="s">
        <v>22</v>
      </c>
      <c r="AK163" s="2"/>
      <c r="BW163" s="2"/>
    </row>
    <row r="164" spans="1:75">
      <c r="A164" t="s">
        <v>136</v>
      </c>
      <c r="B164" t="s">
        <v>13</v>
      </c>
      <c r="C164" t="s">
        <v>136</v>
      </c>
      <c r="E164" s="55">
        <v>38565</v>
      </c>
      <c r="F164" t="s">
        <v>9</v>
      </c>
      <c r="G164" s="2">
        <v>4.125200255584714E-4</v>
      </c>
      <c r="J164">
        <v>1</v>
      </c>
      <c r="K164" t="s">
        <v>163</v>
      </c>
      <c r="L164" t="s">
        <v>22</v>
      </c>
      <c r="AK164" s="2"/>
    </row>
    <row r="165" spans="1:75">
      <c r="A165" t="s">
        <v>136</v>
      </c>
      <c r="B165" t="s">
        <v>13</v>
      </c>
      <c r="C165" t="s">
        <v>136</v>
      </c>
      <c r="E165" s="55">
        <v>38565</v>
      </c>
      <c r="F165" t="s">
        <v>9</v>
      </c>
      <c r="G165" s="2">
        <v>4.9578094814825471E-4</v>
      </c>
      <c r="J165">
        <v>1</v>
      </c>
      <c r="K165" t="s">
        <v>163</v>
      </c>
      <c r="L165" t="s">
        <v>22</v>
      </c>
      <c r="AK165" s="2"/>
    </row>
    <row r="166" spans="1:75">
      <c r="A166" t="s">
        <v>136</v>
      </c>
      <c r="B166" t="s">
        <v>13</v>
      </c>
      <c r="C166" t="s">
        <v>136</v>
      </c>
      <c r="E166" s="55">
        <v>38565</v>
      </c>
      <c r="F166" t="s">
        <v>9</v>
      </c>
      <c r="G166" s="2">
        <v>8.4320607059107742E-3</v>
      </c>
      <c r="J166">
        <v>1</v>
      </c>
      <c r="K166" t="s">
        <v>163</v>
      </c>
      <c r="L166" t="s">
        <v>22</v>
      </c>
      <c r="AK166" s="2"/>
    </row>
    <row r="167" spans="1:75">
      <c r="A167" t="s">
        <v>136</v>
      </c>
      <c r="B167" t="s">
        <v>13</v>
      </c>
      <c r="C167" t="s">
        <v>136</v>
      </c>
      <c r="E167" s="55">
        <v>38565</v>
      </c>
      <c r="F167" t="s">
        <v>9</v>
      </c>
      <c r="G167" s="2">
        <v>5.6390352117625915E-3</v>
      </c>
      <c r="J167">
        <v>1</v>
      </c>
      <c r="K167" t="s">
        <v>163</v>
      </c>
      <c r="L167" t="s">
        <v>22</v>
      </c>
      <c r="AI167" s="2"/>
    </row>
    <row r="168" spans="1:75">
      <c r="A168" t="s">
        <v>136</v>
      </c>
      <c r="B168" t="s">
        <v>13</v>
      </c>
      <c r="C168" t="s">
        <v>136</v>
      </c>
      <c r="E168" s="55">
        <v>38565</v>
      </c>
      <c r="F168" t="s">
        <v>9</v>
      </c>
      <c r="G168" s="2">
        <v>1.3132518244843082E-3</v>
      </c>
      <c r="J168">
        <v>1</v>
      </c>
      <c r="K168" t="s">
        <v>163</v>
      </c>
      <c r="L168" t="s">
        <v>22</v>
      </c>
      <c r="AI168" s="2"/>
    </row>
    <row r="169" spans="1:75">
      <c r="A169" t="s">
        <v>136</v>
      </c>
      <c r="B169" t="s">
        <v>13</v>
      </c>
      <c r="C169" t="s">
        <v>136</v>
      </c>
      <c r="E169" s="55">
        <v>38565</v>
      </c>
      <c r="F169" t="s">
        <v>9</v>
      </c>
      <c r="G169" s="2">
        <v>1.7711868987281159E-3</v>
      </c>
      <c r="J169">
        <v>1</v>
      </c>
      <c r="K169" t="s">
        <v>163</v>
      </c>
      <c r="L169" t="s">
        <v>22</v>
      </c>
      <c r="AI169" s="2"/>
    </row>
    <row r="170" spans="1:75">
      <c r="A170" t="s">
        <v>136</v>
      </c>
      <c r="B170" t="s">
        <v>13</v>
      </c>
      <c r="C170" t="s">
        <v>136</v>
      </c>
      <c r="E170" s="55">
        <v>38565</v>
      </c>
      <c r="F170" t="s">
        <v>9</v>
      </c>
      <c r="G170" s="2">
        <v>1.324605586655642E-3</v>
      </c>
      <c r="J170">
        <v>1</v>
      </c>
      <c r="K170" t="s">
        <v>163</v>
      </c>
      <c r="L170" t="s">
        <v>22</v>
      </c>
      <c r="AI170" s="2"/>
    </row>
    <row r="171" spans="1:75">
      <c r="A171" t="s">
        <v>136</v>
      </c>
      <c r="B171" t="s">
        <v>13</v>
      </c>
      <c r="C171" t="s">
        <v>136</v>
      </c>
      <c r="E171" s="55">
        <v>38565</v>
      </c>
      <c r="F171" t="s">
        <v>9</v>
      </c>
      <c r="G171" s="2">
        <v>7.3420995374627021E-4</v>
      </c>
      <c r="J171">
        <v>1</v>
      </c>
      <c r="K171" t="s">
        <v>163</v>
      </c>
      <c r="L171" t="s">
        <v>22</v>
      </c>
      <c r="AI171" s="2"/>
    </row>
    <row r="172" spans="1:75">
      <c r="A172" t="s">
        <v>136</v>
      </c>
      <c r="B172" t="s">
        <v>13</v>
      </c>
      <c r="C172" t="s">
        <v>136</v>
      </c>
      <c r="E172" s="55">
        <v>38565</v>
      </c>
      <c r="F172" t="s">
        <v>9</v>
      </c>
      <c r="G172" s="2">
        <v>2.0815230647445804E-3</v>
      </c>
      <c r="J172">
        <v>1</v>
      </c>
      <c r="K172" t="s">
        <v>163</v>
      </c>
      <c r="L172" t="s">
        <v>22</v>
      </c>
      <c r="AI172" s="2"/>
    </row>
    <row r="173" spans="1:75">
      <c r="A173" t="s">
        <v>136</v>
      </c>
      <c r="B173" t="s">
        <v>13</v>
      </c>
      <c r="C173" t="s">
        <v>136</v>
      </c>
      <c r="E173" s="55">
        <v>38565</v>
      </c>
      <c r="F173" t="s">
        <v>9</v>
      </c>
      <c r="G173" s="2">
        <v>2.5432427263788332E-3</v>
      </c>
      <c r="J173">
        <v>1</v>
      </c>
      <c r="K173" t="s">
        <v>163</v>
      </c>
      <c r="L173" t="s">
        <v>22</v>
      </c>
      <c r="AI173" s="2"/>
    </row>
    <row r="174" spans="1:75">
      <c r="A174" t="s">
        <v>136</v>
      </c>
      <c r="B174" t="s">
        <v>13</v>
      </c>
      <c r="C174" t="s">
        <v>136</v>
      </c>
      <c r="E174" s="56">
        <v>38565</v>
      </c>
      <c r="F174" t="s">
        <v>9</v>
      </c>
      <c r="G174" s="2">
        <v>8.11415536511342E-3</v>
      </c>
      <c r="J174">
        <v>1</v>
      </c>
      <c r="K174" t="s">
        <v>163</v>
      </c>
      <c r="L174" t="s">
        <v>22</v>
      </c>
      <c r="AI174" s="2"/>
    </row>
    <row r="175" spans="1:75">
      <c r="A175" s="3" t="s">
        <v>184</v>
      </c>
      <c r="B175" s="3" t="s">
        <v>14</v>
      </c>
      <c r="C175" s="3" t="s">
        <v>96</v>
      </c>
      <c r="D175" s="3"/>
      <c r="E175" s="54">
        <v>38687</v>
      </c>
      <c r="F175" s="3" t="s">
        <v>94</v>
      </c>
      <c r="G175" s="4">
        <v>3.1033616601646476E-3</v>
      </c>
      <c r="H175" s="4"/>
      <c r="I175" s="4"/>
      <c r="J175" s="3">
        <v>1</v>
      </c>
      <c r="K175" s="3" t="s">
        <v>163</v>
      </c>
      <c r="L175" s="3" t="s">
        <v>23</v>
      </c>
      <c r="O175" s="8"/>
      <c r="AI175" s="2"/>
    </row>
    <row r="176" spans="1:75">
      <c r="A176" t="s">
        <v>184</v>
      </c>
      <c r="B176" t="s">
        <v>14</v>
      </c>
      <c r="C176" t="s">
        <v>97</v>
      </c>
      <c r="E176" s="55">
        <v>38687</v>
      </c>
      <c r="F176" t="s">
        <v>94</v>
      </c>
      <c r="G176" s="2">
        <v>4.8064259858647592E-3</v>
      </c>
      <c r="J176">
        <v>1</v>
      </c>
      <c r="K176" t="s">
        <v>163</v>
      </c>
      <c r="L176" t="s">
        <v>23</v>
      </c>
    </row>
    <row r="177" spans="1:12">
      <c r="A177" t="s">
        <v>184</v>
      </c>
      <c r="B177" t="s">
        <v>14</v>
      </c>
      <c r="C177" t="s">
        <v>98</v>
      </c>
      <c r="E177" s="55">
        <v>38687</v>
      </c>
      <c r="F177" t="s">
        <v>94</v>
      </c>
      <c r="G177" s="2">
        <v>2.6113652994068377E-2</v>
      </c>
      <c r="J177">
        <v>1</v>
      </c>
      <c r="K177" t="s">
        <v>163</v>
      </c>
      <c r="L177" t="s">
        <v>23</v>
      </c>
    </row>
    <row r="178" spans="1:12">
      <c r="A178" t="s">
        <v>184</v>
      </c>
      <c r="B178" t="s">
        <v>14</v>
      </c>
      <c r="C178" t="s">
        <v>99</v>
      </c>
      <c r="E178" s="55">
        <v>38687</v>
      </c>
      <c r="F178" t="s">
        <v>94</v>
      </c>
      <c r="G178" s="2">
        <v>5.184884724909228E-3</v>
      </c>
      <c r="J178">
        <v>1</v>
      </c>
      <c r="K178" t="s">
        <v>163</v>
      </c>
      <c r="L178" t="s">
        <v>23</v>
      </c>
    </row>
    <row r="179" spans="1:12">
      <c r="A179" t="s">
        <v>184</v>
      </c>
      <c r="B179" t="s">
        <v>14</v>
      </c>
      <c r="C179" t="s">
        <v>100</v>
      </c>
      <c r="E179" s="55">
        <v>38687</v>
      </c>
      <c r="F179" t="s">
        <v>94</v>
      </c>
      <c r="G179" s="2">
        <v>4.6171966163425235E-3</v>
      </c>
      <c r="J179">
        <v>1</v>
      </c>
      <c r="K179" t="s">
        <v>163</v>
      </c>
      <c r="L179" t="s">
        <v>23</v>
      </c>
    </row>
    <row r="180" spans="1:12">
      <c r="A180" t="s">
        <v>184</v>
      </c>
      <c r="B180" t="s">
        <v>14</v>
      </c>
      <c r="C180" t="s">
        <v>101</v>
      </c>
      <c r="E180" s="55">
        <v>38687</v>
      </c>
      <c r="F180" t="s">
        <v>94</v>
      </c>
      <c r="G180" s="2">
        <v>2.45998180378905E-3</v>
      </c>
      <c r="J180">
        <v>1</v>
      </c>
      <c r="K180" t="s">
        <v>163</v>
      </c>
      <c r="L180" t="s">
        <v>23</v>
      </c>
    </row>
    <row r="181" spans="1:12">
      <c r="A181" t="s">
        <v>184</v>
      </c>
      <c r="B181" t="s">
        <v>14</v>
      </c>
      <c r="C181" t="s">
        <v>102</v>
      </c>
      <c r="E181" s="55">
        <v>38687</v>
      </c>
      <c r="F181" t="s">
        <v>94</v>
      </c>
      <c r="G181" s="2">
        <v>1.7030643257001115E-4</v>
      </c>
      <c r="J181">
        <v>1</v>
      </c>
      <c r="K181" t="s">
        <v>163</v>
      </c>
      <c r="L181" t="s">
        <v>23</v>
      </c>
    </row>
    <row r="182" spans="1:12">
      <c r="A182" t="s">
        <v>184</v>
      </c>
      <c r="B182" t="s">
        <v>14</v>
      </c>
      <c r="C182" t="s">
        <v>104</v>
      </c>
      <c r="E182" s="55">
        <v>38687</v>
      </c>
      <c r="F182" t="s">
        <v>94</v>
      </c>
      <c r="G182" s="2">
        <v>1.7787560735090053E-4</v>
      </c>
      <c r="J182">
        <v>1</v>
      </c>
      <c r="K182" t="s">
        <v>163</v>
      </c>
      <c r="L182" t="s">
        <v>23</v>
      </c>
    </row>
    <row r="183" spans="1:12">
      <c r="A183" t="s">
        <v>184</v>
      </c>
      <c r="B183" t="s">
        <v>14</v>
      </c>
      <c r="C183" t="s">
        <v>103</v>
      </c>
      <c r="E183" s="55">
        <v>38687</v>
      </c>
      <c r="F183" t="s">
        <v>94</v>
      </c>
      <c r="G183" s="2">
        <v>1.2110679649423014E-4</v>
      </c>
      <c r="J183">
        <v>1</v>
      </c>
      <c r="K183" t="s">
        <v>163</v>
      </c>
      <c r="L183" t="s">
        <v>23</v>
      </c>
    </row>
    <row r="184" spans="1:12">
      <c r="A184" s="3" t="s">
        <v>184</v>
      </c>
      <c r="B184" s="3" t="s">
        <v>14</v>
      </c>
      <c r="C184" s="3" t="s">
        <v>105</v>
      </c>
      <c r="D184" s="3"/>
      <c r="E184" s="53" t="s">
        <v>75</v>
      </c>
      <c r="F184" s="3" t="s">
        <v>32</v>
      </c>
      <c r="G184" s="4">
        <v>3.1790534079735412E-5</v>
      </c>
      <c r="H184" s="4"/>
      <c r="I184" s="4"/>
      <c r="J184" s="3">
        <v>1</v>
      </c>
      <c r="K184" s="3" t="s">
        <v>163</v>
      </c>
      <c r="L184" s="3" t="s">
        <v>24</v>
      </c>
    </row>
    <row r="185" spans="1:12">
      <c r="A185" t="s">
        <v>184</v>
      </c>
      <c r="B185" t="s">
        <v>14</v>
      </c>
      <c r="C185" t="s">
        <v>107</v>
      </c>
      <c r="E185" s="52" t="s">
        <v>75</v>
      </c>
      <c r="F185" t="s">
        <v>6</v>
      </c>
      <c r="G185" s="2">
        <v>1.2867597127511952E-5</v>
      </c>
      <c r="J185">
        <v>1</v>
      </c>
      <c r="K185" t="s">
        <v>163</v>
      </c>
      <c r="L185" t="s">
        <v>24</v>
      </c>
    </row>
    <row r="186" spans="1:12">
      <c r="A186" t="s">
        <v>184</v>
      </c>
      <c r="B186" t="s">
        <v>14</v>
      </c>
      <c r="C186" t="s">
        <v>108</v>
      </c>
      <c r="E186" s="52" t="s">
        <v>75</v>
      </c>
      <c r="F186" t="s">
        <v>95</v>
      </c>
      <c r="G186" s="2">
        <v>3.4818203992091161E-5</v>
      </c>
      <c r="J186">
        <v>1</v>
      </c>
      <c r="K186" t="s">
        <v>163</v>
      </c>
      <c r="L186" t="s">
        <v>24</v>
      </c>
    </row>
    <row r="187" spans="1:12">
      <c r="A187" t="s">
        <v>184</v>
      </c>
      <c r="B187" t="s">
        <v>14</v>
      </c>
      <c r="C187" t="s">
        <v>108</v>
      </c>
      <c r="E187" s="52" t="s">
        <v>75</v>
      </c>
      <c r="F187" t="s">
        <v>106</v>
      </c>
      <c r="G187" s="2">
        <v>1.0975303432289607E-5</v>
      </c>
      <c r="J187">
        <v>1</v>
      </c>
      <c r="K187" t="s">
        <v>163</v>
      </c>
      <c r="L187" t="s">
        <v>24</v>
      </c>
    </row>
    <row r="188" spans="1:12">
      <c r="A188" t="s">
        <v>184</v>
      </c>
      <c r="B188" t="s">
        <v>14</v>
      </c>
      <c r="C188" t="s">
        <v>108</v>
      </c>
      <c r="E188" s="52" t="s">
        <v>75</v>
      </c>
      <c r="F188" t="s">
        <v>106</v>
      </c>
      <c r="G188" s="2">
        <v>8.3260922589783225E-6</v>
      </c>
      <c r="J188">
        <v>1</v>
      </c>
      <c r="K188" t="s">
        <v>163</v>
      </c>
      <c r="L188" t="s">
        <v>24</v>
      </c>
    </row>
    <row r="189" spans="1:12">
      <c r="A189" t="s">
        <v>184</v>
      </c>
      <c r="B189" t="s">
        <v>14</v>
      </c>
      <c r="C189" t="s">
        <v>109</v>
      </c>
      <c r="E189" s="52" t="s">
        <v>75</v>
      </c>
      <c r="F189" t="s">
        <v>95</v>
      </c>
      <c r="G189" s="2">
        <v>1.8166019474134523E-5</v>
      </c>
      <c r="J189">
        <v>1</v>
      </c>
      <c r="K189" t="s">
        <v>163</v>
      </c>
      <c r="L189" t="s">
        <v>24</v>
      </c>
    </row>
    <row r="190" spans="1:12">
      <c r="A190" t="s">
        <v>184</v>
      </c>
      <c r="B190" t="s">
        <v>14</v>
      </c>
      <c r="C190" t="s">
        <v>110</v>
      </c>
      <c r="E190" s="52" t="s">
        <v>75</v>
      </c>
      <c r="F190" t="s">
        <v>6</v>
      </c>
      <c r="G190" s="2">
        <v>1.1353762171334076E-5</v>
      </c>
      <c r="J190">
        <v>1</v>
      </c>
      <c r="K190" t="s">
        <v>163</v>
      </c>
      <c r="L190" t="s">
        <v>24</v>
      </c>
    </row>
    <row r="191" spans="1:12">
      <c r="A191" t="s">
        <v>184</v>
      </c>
      <c r="B191" t="s">
        <v>14</v>
      </c>
      <c r="C191" t="s">
        <v>112</v>
      </c>
      <c r="E191" s="52" t="s">
        <v>75</v>
      </c>
      <c r="F191" t="s">
        <v>6</v>
      </c>
      <c r="G191" s="2">
        <v>1.2867597127511952E-5</v>
      </c>
      <c r="J191">
        <v>1</v>
      </c>
      <c r="K191" t="s">
        <v>163</v>
      </c>
      <c r="L191" t="s">
        <v>24</v>
      </c>
    </row>
    <row r="192" spans="1:12">
      <c r="A192" t="s">
        <v>184</v>
      </c>
      <c r="B192" t="s">
        <v>14</v>
      </c>
      <c r="C192" t="s">
        <v>111</v>
      </c>
      <c r="E192" s="52" t="s">
        <v>75</v>
      </c>
      <c r="F192" t="s">
        <v>6</v>
      </c>
      <c r="G192" s="2">
        <v>7.9476335199338531E-6</v>
      </c>
      <c r="J192">
        <v>1</v>
      </c>
      <c r="K192" t="s">
        <v>163</v>
      </c>
      <c r="L192" t="s">
        <v>24</v>
      </c>
    </row>
    <row r="193" spans="1:12">
      <c r="A193" t="s">
        <v>184</v>
      </c>
      <c r="B193" t="s">
        <v>14</v>
      </c>
      <c r="C193" t="s">
        <v>113</v>
      </c>
      <c r="E193" s="52" t="s">
        <v>75</v>
      </c>
      <c r="F193" t="s">
        <v>95</v>
      </c>
      <c r="G193" s="2">
        <v>1.4002973344645361E-5</v>
      </c>
      <c r="J193">
        <v>1</v>
      </c>
      <c r="K193" t="s">
        <v>163</v>
      </c>
      <c r="L193" t="s">
        <v>24</v>
      </c>
    </row>
    <row r="194" spans="1:12">
      <c r="A194" t="s">
        <v>184</v>
      </c>
      <c r="B194" t="s">
        <v>14</v>
      </c>
      <c r="C194" t="s">
        <v>114</v>
      </c>
      <c r="E194" s="52" t="s">
        <v>75</v>
      </c>
      <c r="F194" t="s">
        <v>7</v>
      </c>
      <c r="G194" s="2">
        <v>2.1572148125534743E-5</v>
      </c>
      <c r="J194">
        <v>1</v>
      </c>
      <c r="K194" t="s">
        <v>163</v>
      </c>
      <c r="L194" t="s">
        <v>24</v>
      </c>
    </row>
    <row r="195" spans="1:12">
      <c r="A195" t="s">
        <v>184</v>
      </c>
      <c r="B195" t="s">
        <v>14</v>
      </c>
      <c r="C195" t="s">
        <v>115</v>
      </c>
      <c r="E195" s="52" t="s">
        <v>75</v>
      </c>
      <c r="F195" t="s">
        <v>95</v>
      </c>
      <c r="G195" s="2">
        <v>2.0058313169356868E-5</v>
      </c>
      <c r="J195">
        <v>1</v>
      </c>
      <c r="K195" t="s">
        <v>163</v>
      </c>
      <c r="L195" t="s">
        <v>24</v>
      </c>
    </row>
    <row r="196" spans="1:12">
      <c r="A196" t="s">
        <v>184</v>
      </c>
      <c r="B196" t="s">
        <v>14</v>
      </c>
      <c r="C196" t="s">
        <v>116</v>
      </c>
      <c r="E196" s="52" t="s">
        <v>75</v>
      </c>
      <c r="F196" t="s">
        <v>6</v>
      </c>
      <c r="G196" s="2">
        <v>2.5735194255023905E-5</v>
      </c>
      <c r="J196">
        <v>1</v>
      </c>
      <c r="K196" t="s">
        <v>163</v>
      </c>
      <c r="L196" t="s">
        <v>24</v>
      </c>
    </row>
    <row r="197" spans="1:12">
      <c r="A197" t="s">
        <v>184</v>
      </c>
      <c r="B197" t="s">
        <v>14</v>
      </c>
      <c r="C197" t="s">
        <v>117</v>
      </c>
      <c r="E197" s="52" t="s">
        <v>75</v>
      </c>
      <c r="F197" t="s">
        <v>7</v>
      </c>
      <c r="G197" s="2">
        <v>1.5516808300823235E-5</v>
      </c>
      <c r="J197">
        <v>1</v>
      </c>
      <c r="K197" t="s">
        <v>163</v>
      </c>
      <c r="L197" t="s">
        <v>24</v>
      </c>
    </row>
    <row r="198" spans="1:12">
      <c r="A198" s="3" t="s">
        <v>184</v>
      </c>
      <c r="B198" s="3" t="s">
        <v>14</v>
      </c>
      <c r="C198" s="3" t="s">
        <v>108</v>
      </c>
      <c r="D198" s="3"/>
      <c r="E198" s="53" t="s">
        <v>81</v>
      </c>
      <c r="F198" s="3" t="s">
        <v>76</v>
      </c>
      <c r="G198" s="4">
        <v>5.0713471031958875E-4</v>
      </c>
      <c r="H198" s="4"/>
      <c r="I198" s="4"/>
      <c r="J198" s="3">
        <v>1</v>
      </c>
      <c r="K198" s="3" t="s">
        <v>163</v>
      </c>
      <c r="L198" s="3" t="s">
        <v>24</v>
      </c>
    </row>
    <row r="199" spans="1:12">
      <c r="A199" t="s">
        <v>184</v>
      </c>
      <c r="B199" t="s">
        <v>14</v>
      </c>
      <c r="C199" t="s">
        <v>108</v>
      </c>
      <c r="E199" s="52" t="s">
        <v>82</v>
      </c>
      <c r="F199" t="s">
        <v>76</v>
      </c>
      <c r="G199" s="2">
        <v>1.1467299793047417E-3</v>
      </c>
      <c r="J199">
        <v>1</v>
      </c>
      <c r="K199" t="s">
        <v>163</v>
      </c>
      <c r="L199" t="s">
        <v>24</v>
      </c>
    </row>
    <row r="200" spans="1:12">
      <c r="A200" t="s">
        <v>184</v>
      </c>
      <c r="B200" t="s">
        <v>14</v>
      </c>
      <c r="C200" t="s">
        <v>108</v>
      </c>
      <c r="E200" s="52" t="s">
        <v>83</v>
      </c>
      <c r="F200" t="s">
        <v>76</v>
      </c>
      <c r="G200" s="2">
        <v>4.0873543816802679E-4</v>
      </c>
      <c r="J200">
        <v>1</v>
      </c>
      <c r="K200" t="s">
        <v>163</v>
      </c>
      <c r="L200" t="s">
        <v>24</v>
      </c>
    </row>
    <row r="201" spans="1:12">
      <c r="A201" t="s">
        <v>184</v>
      </c>
      <c r="B201" t="s">
        <v>14</v>
      </c>
      <c r="C201" t="s">
        <v>108</v>
      </c>
      <c r="E201" s="52" t="s">
        <v>84</v>
      </c>
      <c r="F201" t="s">
        <v>76</v>
      </c>
      <c r="G201" s="2">
        <v>1.4759890822734297E-4</v>
      </c>
      <c r="J201">
        <v>1</v>
      </c>
      <c r="K201" t="s">
        <v>163</v>
      </c>
      <c r="L201" t="s">
        <v>24</v>
      </c>
    </row>
    <row r="202" spans="1:12">
      <c r="A202" t="s">
        <v>184</v>
      </c>
      <c r="B202" t="s">
        <v>14</v>
      </c>
      <c r="C202" t="s">
        <v>118</v>
      </c>
      <c r="E202" s="52" t="s">
        <v>85</v>
      </c>
      <c r="F202" t="s">
        <v>76</v>
      </c>
      <c r="G202" s="2">
        <v>5.0713471031958874E-5</v>
      </c>
      <c r="J202">
        <v>1</v>
      </c>
      <c r="K202" t="s">
        <v>163</v>
      </c>
      <c r="L202" t="s">
        <v>24</v>
      </c>
    </row>
    <row r="203" spans="1:12">
      <c r="A203" t="s">
        <v>184</v>
      </c>
      <c r="B203" t="s">
        <v>14</v>
      </c>
      <c r="C203" t="s">
        <v>119</v>
      </c>
      <c r="E203" s="52" t="s">
        <v>86</v>
      </c>
      <c r="F203" t="s">
        <v>76</v>
      </c>
      <c r="G203" s="2">
        <v>1.5138349561778767E-5</v>
      </c>
      <c r="J203">
        <v>1</v>
      </c>
      <c r="K203" t="s">
        <v>163</v>
      </c>
      <c r="L203" t="s">
        <v>24</v>
      </c>
    </row>
    <row r="204" spans="1:12">
      <c r="A204" t="s">
        <v>184</v>
      </c>
      <c r="B204" t="s">
        <v>14</v>
      </c>
      <c r="C204" t="s">
        <v>126</v>
      </c>
      <c r="E204" s="52" t="s">
        <v>87</v>
      </c>
      <c r="F204" t="s">
        <v>76</v>
      </c>
      <c r="G204" s="2">
        <v>2.4221359298846027E-5</v>
      </c>
      <c r="J204">
        <v>1</v>
      </c>
      <c r="K204" t="s">
        <v>163</v>
      </c>
      <c r="L204" t="s">
        <v>24</v>
      </c>
    </row>
    <row r="205" spans="1:12">
      <c r="A205" t="s">
        <v>184</v>
      </c>
      <c r="B205" t="s">
        <v>14</v>
      </c>
      <c r="C205" t="s">
        <v>120</v>
      </c>
      <c r="E205" s="52" t="s">
        <v>88</v>
      </c>
      <c r="F205" t="s">
        <v>76</v>
      </c>
      <c r="G205" s="2">
        <v>3.2925910296868815E-5</v>
      </c>
      <c r="J205">
        <v>1</v>
      </c>
      <c r="K205" t="s">
        <v>163</v>
      </c>
      <c r="L205" t="s">
        <v>24</v>
      </c>
    </row>
    <row r="206" spans="1:12">
      <c r="A206" t="s">
        <v>184</v>
      </c>
      <c r="B206" t="s">
        <v>14</v>
      </c>
      <c r="C206" t="s">
        <v>121</v>
      </c>
      <c r="E206" s="52" t="s">
        <v>89</v>
      </c>
      <c r="F206" t="s">
        <v>76</v>
      </c>
      <c r="G206" s="2">
        <v>3.6710497687313506E-5</v>
      </c>
      <c r="J206">
        <v>1</v>
      </c>
      <c r="K206" t="s">
        <v>163</v>
      </c>
      <c r="L206" t="s">
        <v>24</v>
      </c>
    </row>
    <row r="207" spans="1:12">
      <c r="A207" t="s">
        <v>184</v>
      </c>
      <c r="B207" t="s">
        <v>14</v>
      </c>
      <c r="C207" t="s">
        <v>122</v>
      </c>
      <c r="E207" s="52" t="s">
        <v>90</v>
      </c>
      <c r="F207" t="s">
        <v>76</v>
      </c>
      <c r="G207" s="2">
        <v>7.190716041844915E-6</v>
      </c>
      <c r="J207">
        <v>1</v>
      </c>
      <c r="K207" t="s">
        <v>163</v>
      </c>
      <c r="L207" t="s">
        <v>24</v>
      </c>
    </row>
    <row r="208" spans="1:12">
      <c r="A208" t="s">
        <v>184</v>
      </c>
      <c r="B208" t="s">
        <v>14</v>
      </c>
      <c r="C208" t="s">
        <v>123</v>
      </c>
      <c r="E208" s="52" t="s">
        <v>91</v>
      </c>
      <c r="F208" t="s">
        <v>76</v>
      </c>
      <c r="G208" s="2">
        <v>1.6273725778912177E-5</v>
      </c>
      <c r="J208">
        <v>1</v>
      </c>
      <c r="K208" t="s">
        <v>163</v>
      </c>
      <c r="L208" t="s">
        <v>24</v>
      </c>
    </row>
    <row r="209" spans="1:12">
      <c r="A209" t="s">
        <v>184</v>
      </c>
      <c r="B209" t="s">
        <v>14</v>
      </c>
      <c r="C209" t="s">
        <v>124</v>
      </c>
      <c r="E209" s="52" t="s">
        <v>92</v>
      </c>
      <c r="F209" t="s">
        <v>76</v>
      </c>
      <c r="G209" s="2">
        <v>2.9519781645468596E-5</v>
      </c>
      <c r="J209">
        <v>1</v>
      </c>
      <c r="K209" t="s">
        <v>163</v>
      </c>
      <c r="L209" t="s">
        <v>24</v>
      </c>
    </row>
    <row r="210" spans="1:12">
      <c r="A210" t="s">
        <v>184</v>
      </c>
      <c r="B210" t="s">
        <v>14</v>
      </c>
      <c r="C210" t="s">
        <v>125</v>
      </c>
      <c r="E210" s="52" t="s">
        <v>90</v>
      </c>
      <c r="F210" t="s">
        <v>76</v>
      </c>
      <c r="G210" s="11">
        <v>2.1950606864579214E-5</v>
      </c>
      <c r="J210">
        <v>1</v>
      </c>
      <c r="K210" t="s">
        <v>163</v>
      </c>
      <c r="L210" t="s">
        <v>24</v>
      </c>
    </row>
    <row r="211" spans="1:12">
      <c r="A211" s="3" t="s">
        <v>220</v>
      </c>
      <c r="B211" s="3" t="s">
        <v>266</v>
      </c>
      <c r="C211" s="3" t="s">
        <v>221</v>
      </c>
      <c r="D211" s="3" t="s">
        <v>254</v>
      </c>
      <c r="E211" s="53" t="s">
        <v>138</v>
      </c>
      <c r="F211" s="3" t="s">
        <v>127</v>
      </c>
      <c r="G211" s="6">
        <v>1.1550216662238068E-5</v>
      </c>
      <c r="H211" s="4">
        <v>1.6690030391861092E-4</v>
      </c>
      <c r="I211" s="4">
        <v>8.3260922589783225E-7</v>
      </c>
      <c r="J211" s="3">
        <v>33</v>
      </c>
      <c r="K211" s="3" t="s">
        <v>163</v>
      </c>
      <c r="L211" s="3" t="s">
        <v>18</v>
      </c>
    </row>
    <row r="212" spans="1:12">
      <c r="A212" s="3" t="s">
        <v>136</v>
      </c>
      <c r="B212" s="3" t="s">
        <v>15</v>
      </c>
      <c r="C212" s="3" t="s">
        <v>136</v>
      </c>
      <c r="D212" s="3"/>
      <c r="E212" s="54">
        <v>38565</v>
      </c>
      <c r="F212" s="3" t="s">
        <v>9</v>
      </c>
      <c r="G212" s="2">
        <v>5.4054054054054054E-5</v>
      </c>
      <c r="H212" s="4"/>
      <c r="I212" s="4"/>
      <c r="J212" s="3">
        <v>1</v>
      </c>
      <c r="K212" s="3" t="s">
        <v>163</v>
      </c>
      <c r="L212" s="3" t="s">
        <v>25</v>
      </c>
    </row>
    <row r="213" spans="1:12">
      <c r="A213" t="s">
        <v>136</v>
      </c>
      <c r="B213" t="s">
        <v>15</v>
      </c>
      <c r="C213" t="s">
        <v>136</v>
      </c>
      <c r="E213" s="55">
        <v>38565</v>
      </c>
      <c r="F213" t="s">
        <v>9</v>
      </c>
      <c r="G213" s="2">
        <v>8.1081081081081088E-4</v>
      </c>
      <c r="J213">
        <v>1</v>
      </c>
      <c r="K213" t="s">
        <v>163</v>
      </c>
      <c r="L213" t="s">
        <v>25</v>
      </c>
    </row>
    <row r="214" spans="1:12">
      <c r="A214" t="s">
        <v>136</v>
      </c>
      <c r="B214" t="s">
        <v>15</v>
      </c>
      <c r="C214" t="s">
        <v>136</v>
      </c>
      <c r="E214" s="55">
        <v>38565</v>
      </c>
      <c r="F214" t="s">
        <v>9</v>
      </c>
      <c r="G214" s="2">
        <v>1.6486486486486486E-3</v>
      </c>
      <c r="J214">
        <v>1</v>
      </c>
      <c r="K214" t="s">
        <v>163</v>
      </c>
      <c r="L214" t="s">
        <v>25</v>
      </c>
    </row>
    <row r="215" spans="1:12">
      <c r="A215" t="s">
        <v>136</v>
      </c>
      <c r="B215" t="s">
        <v>15</v>
      </c>
      <c r="C215" t="s">
        <v>136</v>
      </c>
      <c r="E215" s="55">
        <v>38565</v>
      </c>
      <c r="F215" t="s">
        <v>9</v>
      </c>
      <c r="G215" s="2">
        <v>1.3513513513513516E-4</v>
      </c>
      <c r="J215">
        <v>1</v>
      </c>
      <c r="K215" t="s">
        <v>163</v>
      </c>
      <c r="L215" t="s">
        <v>25</v>
      </c>
    </row>
    <row r="216" spans="1:12">
      <c r="A216" t="s">
        <v>136</v>
      </c>
      <c r="B216" t="s">
        <v>15</v>
      </c>
      <c r="C216" t="s">
        <v>136</v>
      </c>
      <c r="E216" s="55">
        <v>38565</v>
      </c>
      <c r="F216" t="s">
        <v>9</v>
      </c>
      <c r="G216" s="2">
        <v>3.783783783783784E-4</v>
      </c>
      <c r="J216">
        <v>1</v>
      </c>
      <c r="K216" t="s">
        <v>163</v>
      </c>
      <c r="L216" t="s">
        <v>25</v>
      </c>
    </row>
    <row r="217" spans="1:12">
      <c r="A217" t="s">
        <v>136</v>
      </c>
      <c r="B217" t="s">
        <v>15</v>
      </c>
      <c r="C217" t="s">
        <v>136</v>
      </c>
      <c r="E217" s="55">
        <v>38565</v>
      </c>
      <c r="F217" t="s">
        <v>9</v>
      </c>
      <c r="G217" s="2">
        <v>5.1351351351351356E-4</v>
      </c>
      <c r="J217">
        <v>1</v>
      </c>
      <c r="K217" t="s">
        <v>163</v>
      </c>
      <c r="L217" t="s">
        <v>25</v>
      </c>
    </row>
    <row r="218" spans="1:12">
      <c r="A218" t="s">
        <v>136</v>
      </c>
      <c r="B218" t="s">
        <v>15</v>
      </c>
      <c r="C218" t="s">
        <v>136</v>
      </c>
      <c r="E218" s="55">
        <v>38565</v>
      </c>
      <c r="F218" t="s">
        <v>9</v>
      </c>
      <c r="G218" s="2">
        <v>5.6756756756756754E-4</v>
      </c>
      <c r="J218">
        <v>1</v>
      </c>
      <c r="K218" t="s">
        <v>163</v>
      </c>
      <c r="L218" t="s">
        <v>25</v>
      </c>
    </row>
    <row r="219" spans="1:12">
      <c r="A219" t="s">
        <v>136</v>
      </c>
      <c r="B219" t="s">
        <v>15</v>
      </c>
      <c r="C219" t="s">
        <v>136</v>
      </c>
      <c r="E219" s="55">
        <v>38565</v>
      </c>
      <c r="F219" t="s">
        <v>9</v>
      </c>
      <c r="G219" s="2">
        <v>2.4054054054054052E-3</v>
      </c>
      <c r="J219">
        <v>1</v>
      </c>
      <c r="K219" t="s">
        <v>163</v>
      </c>
      <c r="L219" t="s">
        <v>25</v>
      </c>
    </row>
    <row r="220" spans="1:12">
      <c r="A220" t="s">
        <v>136</v>
      </c>
      <c r="B220" t="s">
        <v>15</v>
      </c>
      <c r="C220" t="s">
        <v>136</v>
      </c>
      <c r="E220" s="55">
        <v>38565</v>
      </c>
      <c r="F220" t="s">
        <v>9</v>
      </c>
      <c r="G220" s="2">
        <v>2.9729729729729732E-4</v>
      </c>
      <c r="J220">
        <v>1</v>
      </c>
      <c r="K220" t="s">
        <v>163</v>
      </c>
      <c r="L220" t="s">
        <v>25</v>
      </c>
    </row>
    <row r="221" spans="1:12">
      <c r="A221" t="s">
        <v>136</v>
      </c>
      <c r="B221" t="s">
        <v>15</v>
      </c>
      <c r="C221" t="s">
        <v>136</v>
      </c>
      <c r="E221" s="55">
        <v>38565</v>
      </c>
      <c r="F221" t="s">
        <v>9</v>
      </c>
      <c r="G221" s="2">
        <v>3.2432432432432436E-4</v>
      </c>
      <c r="J221">
        <v>1</v>
      </c>
      <c r="K221" t="s">
        <v>163</v>
      </c>
      <c r="L221" t="s">
        <v>25</v>
      </c>
    </row>
    <row r="222" spans="1:12">
      <c r="A222" t="s">
        <v>136</v>
      </c>
      <c r="B222" t="s">
        <v>15</v>
      </c>
      <c r="C222" t="s">
        <v>136</v>
      </c>
      <c r="E222" s="55">
        <v>38565</v>
      </c>
      <c r="F222" t="s">
        <v>9</v>
      </c>
      <c r="G222" s="2">
        <v>1.3513513513513514E-3</v>
      </c>
      <c r="J222">
        <v>1</v>
      </c>
      <c r="K222" t="s">
        <v>163</v>
      </c>
      <c r="L222" t="s">
        <v>25</v>
      </c>
    </row>
    <row r="223" spans="1:12">
      <c r="A223" t="s">
        <v>136</v>
      </c>
      <c r="B223" t="s">
        <v>15</v>
      </c>
      <c r="C223" t="s">
        <v>136</v>
      </c>
      <c r="E223" s="55">
        <v>38565</v>
      </c>
      <c r="F223" t="s">
        <v>9</v>
      </c>
      <c r="G223" s="2">
        <v>1.9459459459459461E-3</v>
      </c>
      <c r="J223">
        <v>1</v>
      </c>
      <c r="K223" t="s">
        <v>163</v>
      </c>
      <c r="L223" t="s">
        <v>25</v>
      </c>
    </row>
    <row r="224" spans="1:12">
      <c r="A224" t="s">
        <v>136</v>
      </c>
      <c r="B224" t="s">
        <v>15</v>
      </c>
      <c r="C224" t="s">
        <v>136</v>
      </c>
      <c r="E224" s="55">
        <v>38565</v>
      </c>
      <c r="F224" t="s">
        <v>9</v>
      </c>
      <c r="G224" s="2">
        <v>1.9189189189189192E-3</v>
      </c>
      <c r="J224">
        <v>1</v>
      </c>
      <c r="K224" t="s">
        <v>163</v>
      </c>
      <c r="L224" t="s">
        <v>25</v>
      </c>
    </row>
    <row r="225" spans="1:12">
      <c r="A225" t="s">
        <v>136</v>
      </c>
      <c r="B225" t="s">
        <v>15</v>
      </c>
      <c r="C225" t="s">
        <v>136</v>
      </c>
      <c r="E225" s="55">
        <v>38565</v>
      </c>
      <c r="F225" t="s">
        <v>9</v>
      </c>
      <c r="G225" s="2">
        <v>4.8648648648648652E-4</v>
      </c>
      <c r="J225">
        <v>1</v>
      </c>
      <c r="K225" t="s">
        <v>163</v>
      </c>
      <c r="L225" t="s">
        <v>25</v>
      </c>
    </row>
    <row r="226" spans="1:12">
      <c r="A226" t="s">
        <v>136</v>
      </c>
      <c r="B226" t="s">
        <v>15</v>
      </c>
      <c r="C226" t="s">
        <v>136</v>
      </c>
      <c r="E226" s="55">
        <v>38565</v>
      </c>
      <c r="F226" t="s">
        <v>9</v>
      </c>
      <c r="G226" s="2">
        <v>3.5135135135135135E-4</v>
      </c>
      <c r="J226">
        <v>1</v>
      </c>
      <c r="K226" t="s">
        <v>163</v>
      </c>
      <c r="L226" t="s">
        <v>25</v>
      </c>
    </row>
    <row r="227" spans="1:12">
      <c r="A227" t="s">
        <v>136</v>
      </c>
      <c r="B227" t="s">
        <v>15</v>
      </c>
      <c r="C227" t="s">
        <v>136</v>
      </c>
      <c r="E227" s="55">
        <v>38565</v>
      </c>
      <c r="F227" t="s">
        <v>9</v>
      </c>
      <c r="G227" s="2">
        <v>1.1621621621621622E-3</v>
      </c>
      <c r="J227">
        <v>1</v>
      </c>
      <c r="K227" t="s">
        <v>163</v>
      </c>
      <c r="L227" t="s">
        <v>25</v>
      </c>
    </row>
    <row r="228" spans="1:12">
      <c r="A228" t="s">
        <v>136</v>
      </c>
      <c r="B228" t="s">
        <v>15</v>
      </c>
      <c r="C228" t="s">
        <v>136</v>
      </c>
      <c r="E228" s="55">
        <v>38565</v>
      </c>
      <c r="F228" t="s">
        <v>9</v>
      </c>
      <c r="G228" s="2">
        <v>1.2702702702702703E-3</v>
      </c>
      <c r="J228">
        <v>1</v>
      </c>
      <c r="K228" t="s">
        <v>163</v>
      </c>
      <c r="L228" t="s">
        <v>25</v>
      </c>
    </row>
    <row r="229" spans="1:12">
      <c r="A229" t="s">
        <v>136</v>
      </c>
      <c r="B229" t="s">
        <v>15</v>
      </c>
      <c r="C229" t="s">
        <v>136</v>
      </c>
      <c r="E229" s="55">
        <v>38565</v>
      </c>
      <c r="F229" t="s">
        <v>9</v>
      </c>
      <c r="G229" s="2">
        <v>1.2972972972972974E-3</v>
      </c>
      <c r="J229">
        <v>1</v>
      </c>
      <c r="K229" t="s">
        <v>163</v>
      </c>
      <c r="L229" t="s">
        <v>25</v>
      </c>
    </row>
    <row r="230" spans="1:12">
      <c r="A230" t="s">
        <v>136</v>
      </c>
      <c r="B230" t="s">
        <v>15</v>
      </c>
      <c r="C230" t="s">
        <v>136</v>
      </c>
      <c r="E230" s="55">
        <v>38565</v>
      </c>
      <c r="F230" t="s">
        <v>9</v>
      </c>
      <c r="G230" s="2">
        <v>4.8648648648648652E-4</v>
      </c>
      <c r="J230">
        <v>1</v>
      </c>
      <c r="K230" t="s">
        <v>163</v>
      </c>
      <c r="L230" t="s">
        <v>25</v>
      </c>
    </row>
    <row r="231" spans="1:12">
      <c r="A231" t="s">
        <v>136</v>
      </c>
      <c r="B231" t="s">
        <v>15</v>
      </c>
      <c r="C231" t="s">
        <v>136</v>
      </c>
      <c r="E231" s="55">
        <v>38565</v>
      </c>
      <c r="F231" t="s">
        <v>9</v>
      </c>
      <c r="G231" s="2">
        <v>4.5945945945945947E-4</v>
      </c>
      <c r="J231">
        <v>1</v>
      </c>
      <c r="K231" t="s">
        <v>163</v>
      </c>
      <c r="L231" t="s">
        <v>25</v>
      </c>
    </row>
    <row r="232" spans="1:12">
      <c r="A232" t="s">
        <v>136</v>
      </c>
      <c r="B232" t="s">
        <v>15</v>
      </c>
      <c r="C232" t="s">
        <v>136</v>
      </c>
      <c r="E232" s="55">
        <v>38565</v>
      </c>
      <c r="F232" t="s">
        <v>9</v>
      </c>
      <c r="G232" s="2">
        <v>4.3243243243243243E-4</v>
      </c>
      <c r="J232">
        <v>1</v>
      </c>
      <c r="K232" t="s">
        <v>163</v>
      </c>
      <c r="L232" t="s">
        <v>25</v>
      </c>
    </row>
    <row r="233" spans="1:12">
      <c r="A233" t="s">
        <v>136</v>
      </c>
      <c r="B233" t="s">
        <v>15</v>
      </c>
      <c r="C233" t="s">
        <v>136</v>
      </c>
      <c r="E233" s="55">
        <v>38565</v>
      </c>
      <c r="F233" t="s">
        <v>9</v>
      </c>
      <c r="G233" s="2">
        <v>4.5945945945945947E-4</v>
      </c>
      <c r="J233">
        <v>1</v>
      </c>
      <c r="K233" t="s">
        <v>163</v>
      </c>
      <c r="L233" t="s">
        <v>25</v>
      </c>
    </row>
    <row r="234" spans="1:12">
      <c r="A234" t="s">
        <v>136</v>
      </c>
      <c r="B234" t="s">
        <v>15</v>
      </c>
      <c r="C234" t="s">
        <v>136</v>
      </c>
      <c r="E234" s="55">
        <v>38565</v>
      </c>
      <c r="F234" t="s">
        <v>9</v>
      </c>
      <c r="G234" s="2">
        <v>1.6216216216216218E-4</v>
      </c>
      <c r="J234">
        <v>1</v>
      </c>
      <c r="K234" t="s">
        <v>163</v>
      </c>
      <c r="L234" t="s">
        <v>25</v>
      </c>
    </row>
    <row r="235" spans="1:12">
      <c r="A235" t="s">
        <v>136</v>
      </c>
      <c r="B235" t="s">
        <v>15</v>
      </c>
      <c r="C235" t="s">
        <v>136</v>
      </c>
      <c r="E235" s="55">
        <v>38565</v>
      </c>
      <c r="F235" t="s">
        <v>9</v>
      </c>
      <c r="G235" s="2">
        <v>2.9729729729729732E-4</v>
      </c>
      <c r="J235">
        <v>1</v>
      </c>
      <c r="K235" t="s">
        <v>163</v>
      </c>
      <c r="L235" t="s">
        <v>25</v>
      </c>
    </row>
    <row r="236" spans="1:12">
      <c r="A236" t="s">
        <v>136</v>
      </c>
      <c r="B236" t="s">
        <v>15</v>
      </c>
      <c r="C236" t="s">
        <v>136</v>
      </c>
      <c r="E236" s="55">
        <v>38565</v>
      </c>
      <c r="F236" t="s">
        <v>9</v>
      </c>
      <c r="G236" s="2">
        <v>1.1081081081081082E-3</v>
      </c>
      <c r="J236">
        <v>1</v>
      </c>
      <c r="K236" t="s">
        <v>163</v>
      </c>
      <c r="L236" t="s">
        <v>25</v>
      </c>
    </row>
    <row r="237" spans="1:12">
      <c r="A237" t="s">
        <v>136</v>
      </c>
      <c r="B237" t="s">
        <v>15</v>
      </c>
      <c r="C237" t="s">
        <v>136</v>
      </c>
      <c r="E237" s="55">
        <v>38565</v>
      </c>
      <c r="F237" t="s">
        <v>9</v>
      </c>
      <c r="G237" s="2">
        <v>4.8378378378378375E-3</v>
      </c>
      <c r="J237">
        <v>1</v>
      </c>
      <c r="K237" t="s">
        <v>163</v>
      </c>
      <c r="L237" t="s">
        <v>25</v>
      </c>
    </row>
    <row r="238" spans="1:12">
      <c r="A238" t="s">
        <v>136</v>
      </c>
      <c r="B238" t="s">
        <v>15</v>
      </c>
      <c r="C238" t="s">
        <v>136</v>
      </c>
      <c r="E238" s="55">
        <v>38565</v>
      </c>
      <c r="F238" t="s">
        <v>9</v>
      </c>
      <c r="G238" s="2">
        <v>4.8648648648648652E-4</v>
      </c>
      <c r="J238">
        <v>1</v>
      </c>
      <c r="K238" t="s">
        <v>163</v>
      </c>
      <c r="L238" t="s">
        <v>25</v>
      </c>
    </row>
    <row r="239" spans="1:12">
      <c r="A239" t="s">
        <v>136</v>
      </c>
      <c r="B239" t="s">
        <v>15</v>
      </c>
      <c r="C239" t="s">
        <v>136</v>
      </c>
      <c r="E239" s="55">
        <v>38565</v>
      </c>
      <c r="F239" t="s">
        <v>9</v>
      </c>
      <c r="G239" s="2">
        <v>3.5135135135135135E-4</v>
      </c>
      <c r="J239">
        <v>1</v>
      </c>
      <c r="K239" t="s">
        <v>163</v>
      </c>
      <c r="L239" t="s">
        <v>25</v>
      </c>
    </row>
    <row r="240" spans="1:12">
      <c r="A240" t="s">
        <v>136</v>
      </c>
      <c r="B240" t="s">
        <v>15</v>
      </c>
      <c r="C240" t="s">
        <v>136</v>
      </c>
      <c r="E240" s="55">
        <v>38565</v>
      </c>
      <c r="F240" t="s">
        <v>9</v>
      </c>
      <c r="G240" s="2">
        <v>3.5135135135135135E-4</v>
      </c>
      <c r="J240">
        <v>1</v>
      </c>
      <c r="K240" t="s">
        <v>163</v>
      </c>
      <c r="L240" t="s">
        <v>25</v>
      </c>
    </row>
    <row r="241" spans="1:12">
      <c r="A241" t="s">
        <v>136</v>
      </c>
      <c r="B241" t="s">
        <v>15</v>
      </c>
      <c r="C241" t="s">
        <v>136</v>
      </c>
      <c r="E241" s="55">
        <v>38565</v>
      </c>
      <c r="F241" t="s">
        <v>9</v>
      </c>
      <c r="G241" s="2">
        <v>4.0540540540540544E-4</v>
      </c>
      <c r="J241">
        <v>1</v>
      </c>
      <c r="K241" t="s">
        <v>163</v>
      </c>
      <c r="L241" t="s">
        <v>25</v>
      </c>
    </row>
    <row r="242" spans="1:12">
      <c r="A242" t="s">
        <v>136</v>
      </c>
      <c r="B242" t="s">
        <v>15</v>
      </c>
      <c r="C242" t="s">
        <v>136</v>
      </c>
      <c r="E242" s="55">
        <v>38565</v>
      </c>
      <c r="F242" t="s">
        <v>9</v>
      </c>
      <c r="G242" s="2">
        <v>1.9729729729729729E-3</v>
      </c>
      <c r="J242">
        <v>1</v>
      </c>
      <c r="K242" t="s">
        <v>163</v>
      </c>
      <c r="L242" t="s">
        <v>25</v>
      </c>
    </row>
    <row r="243" spans="1:12">
      <c r="A243" t="s">
        <v>136</v>
      </c>
      <c r="B243" t="s">
        <v>15</v>
      </c>
      <c r="C243" t="s">
        <v>136</v>
      </c>
      <c r="E243" s="55">
        <v>38565</v>
      </c>
      <c r="F243" t="s">
        <v>9</v>
      </c>
      <c r="G243" s="2">
        <v>9.1891891891891907E-3</v>
      </c>
      <c r="J243">
        <v>1</v>
      </c>
      <c r="K243" t="s">
        <v>163</v>
      </c>
      <c r="L243" t="s">
        <v>25</v>
      </c>
    </row>
    <row r="244" spans="1:12">
      <c r="A244" t="s">
        <v>136</v>
      </c>
      <c r="B244" t="s">
        <v>15</v>
      </c>
      <c r="C244" t="s">
        <v>136</v>
      </c>
      <c r="E244" s="55">
        <v>38565</v>
      </c>
      <c r="F244" t="s">
        <v>9</v>
      </c>
      <c r="G244" s="2">
        <v>4.0540540540540544E-4</v>
      </c>
      <c r="J244">
        <v>1</v>
      </c>
      <c r="K244" t="s">
        <v>163</v>
      </c>
      <c r="L244" t="s">
        <v>25</v>
      </c>
    </row>
    <row r="245" spans="1:12">
      <c r="A245" t="s">
        <v>136</v>
      </c>
      <c r="B245" t="s">
        <v>15</v>
      </c>
      <c r="C245" t="s">
        <v>136</v>
      </c>
      <c r="E245" s="55">
        <v>38565</v>
      </c>
      <c r="F245" t="s">
        <v>9</v>
      </c>
      <c r="G245" s="2">
        <v>3.2432432432432436E-4</v>
      </c>
      <c r="J245">
        <v>1</v>
      </c>
      <c r="K245" t="s">
        <v>163</v>
      </c>
      <c r="L245" t="s">
        <v>25</v>
      </c>
    </row>
    <row r="246" spans="1:12">
      <c r="A246" t="s">
        <v>136</v>
      </c>
      <c r="B246" t="s">
        <v>15</v>
      </c>
      <c r="C246" t="s">
        <v>136</v>
      </c>
      <c r="E246" s="55">
        <v>38565</v>
      </c>
      <c r="F246" t="s">
        <v>9</v>
      </c>
      <c r="G246" s="2">
        <v>8.1081081081081088E-4</v>
      </c>
      <c r="J246">
        <v>1</v>
      </c>
      <c r="K246" t="s">
        <v>163</v>
      </c>
      <c r="L246" t="s">
        <v>25</v>
      </c>
    </row>
    <row r="247" spans="1:12">
      <c r="A247" t="s">
        <v>136</v>
      </c>
      <c r="B247" t="s">
        <v>15</v>
      </c>
      <c r="C247" t="s">
        <v>136</v>
      </c>
      <c r="E247" s="55">
        <v>38565</v>
      </c>
      <c r="F247" t="s">
        <v>9</v>
      </c>
      <c r="G247" s="2">
        <v>7.3243243243243236E-3</v>
      </c>
      <c r="J247">
        <v>1</v>
      </c>
      <c r="K247" t="s">
        <v>163</v>
      </c>
      <c r="L247" t="s">
        <v>25</v>
      </c>
    </row>
    <row r="248" spans="1:12">
      <c r="A248" s="7" t="s">
        <v>136</v>
      </c>
      <c r="B248" s="7" t="s">
        <v>15</v>
      </c>
      <c r="C248" s="7" t="s">
        <v>136</v>
      </c>
      <c r="D248" s="7"/>
      <c r="E248" s="56">
        <v>38565</v>
      </c>
      <c r="F248" s="7" t="s">
        <v>9</v>
      </c>
      <c r="G248" s="11">
        <v>4.5945945945945947E-4</v>
      </c>
      <c r="H248" s="11"/>
      <c r="I248" s="11"/>
      <c r="J248" s="7">
        <v>1</v>
      </c>
      <c r="K248" s="7" t="s">
        <v>163</v>
      </c>
      <c r="L248" s="7" t="s">
        <v>25</v>
      </c>
    </row>
    <row r="249" spans="1:12">
      <c r="A249" t="s">
        <v>246</v>
      </c>
      <c r="B249" t="s">
        <v>13</v>
      </c>
      <c r="C249" t="s">
        <v>187</v>
      </c>
      <c r="E249" s="55">
        <v>38565</v>
      </c>
      <c r="F249" t="s">
        <v>9</v>
      </c>
      <c r="G249" s="2">
        <v>2.0540540540540542E-3</v>
      </c>
      <c r="J249">
        <v>1</v>
      </c>
      <c r="K249" t="s">
        <v>163</v>
      </c>
      <c r="L249" t="s">
        <v>25</v>
      </c>
    </row>
    <row r="250" spans="1:12">
      <c r="A250" t="s">
        <v>246</v>
      </c>
      <c r="B250" t="s">
        <v>13</v>
      </c>
      <c r="C250" t="s">
        <v>187</v>
      </c>
      <c r="E250" s="55">
        <v>38565</v>
      </c>
      <c r="F250" t="s">
        <v>9</v>
      </c>
      <c r="G250" s="2">
        <v>1.5945945945945947E-3</v>
      </c>
      <c r="J250">
        <v>1</v>
      </c>
      <c r="K250" t="s">
        <v>163</v>
      </c>
      <c r="L250" t="s">
        <v>25</v>
      </c>
    </row>
    <row r="251" spans="1:12">
      <c r="A251" t="s">
        <v>246</v>
      </c>
      <c r="B251" t="s">
        <v>13</v>
      </c>
      <c r="C251" t="s">
        <v>187</v>
      </c>
      <c r="E251" s="55">
        <v>38565</v>
      </c>
      <c r="F251" t="s">
        <v>9</v>
      </c>
      <c r="G251" s="2">
        <v>7.6486486486486488E-3</v>
      </c>
      <c r="J251">
        <v>1</v>
      </c>
      <c r="K251" t="s">
        <v>163</v>
      </c>
      <c r="L251" t="s">
        <v>25</v>
      </c>
    </row>
    <row r="252" spans="1:12">
      <c r="A252" t="s">
        <v>246</v>
      </c>
      <c r="B252" t="s">
        <v>13</v>
      </c>
      <c r="C252" t="s">
        <v>187</v>
      </c>
      <c r="E252" s="55">
        <v>38565</v>
      </c>
      <c r="F252" t="s">
        <v>9</v>
      </c>
      <c r="G252" s="2">
        <v>9.729729729729731E-3</v>
      </c>
      <c r="J252">
        <v>1</v>
      </c>
      <c r="K252" t="s">
        <v>163</v>
      </c>
      <c r="L252" t="s">
        <v>25</v>
      </c>
    </row>
    <row r="253" spans="1:12">
      <c r="A253" s="7" t="s">
        <v>246</v>
      </c>
      <c r="B253" s="7" t="s">
        <v>13</v>
      </c>
      <c r="C253" s="7" t="s">
        <v>187</v>
      </c>
      <c r="D253" s="7"/>
      <c r="E253" s="56">
        <v>38565</v>
      </c>
      <c r="F253" s="7" t="s">
        <v>9</v>
      </c>
      <c r="G253" s="11">
        <v>9.7027027027027039E-3</v>
      </c>
      <c r="H253" s="11"/>
      <c r="I253" s="11"/>
      <c r="J253" s="7">
        <v>1</v>
      </c>
      <c r="K253" s="7" t="s">
        <v>163</v>
      </c>
      <c r="L253" s="7" t="s">
        <v>25</v>
      </c>
    </row>
    <row r="254" spans="1:12">
      <c r="A254" t="s">
        <v>246</v>
      </c>
      <c r="B254" t="s">
        <v>13</v>
      </c>
      <c r="C254" t="s">
        <v>140</v>
      </c>
      <c r="E254" s="55">
        <v>38565</v>
      </c>
      <c r="F254" t="s">
        <v>9</v>
      </c>
      <c r="G254" s="2">
        <v>5.6756756756756758E-3</v>
      </c>
      <c r="J254">
        <v>1</v>
      </c>
      <c r="K254" t="s">
        <v>163</v>
      </c>
      <c r="L254" t="s">
        <v>25</v>
      </c>
    </row>
    <row r="255" spans="1:12">
      <c r="A255" t="s">
        <v>246</v>
      </c>
      <c r="B255" t="s">
        <v>13</v>
      </c>
      <c r="C255" t="s">
        <v>140</v>
      </c>
      <c r="E255" s="55">
        <v>38565</v>
      </c>
      <c r="F255" t="s">
        <v>9</v>
      </c>
      <c r="G255" s="2">
        <v>1.0027027027027027E-2</v>
      </c>
      <c r="J255">
        <v>1</v>
      </c>
      <c r="K255" t="s">
        <v>163</v>
      </c>
      <c r="L255" t="s">
        <v>25</v>
      </c>
    </row>
    <row r="256" spans="1:12">
      <c r="A256" t="s">
        <v>246</v>
      </c>
      <c r="B256" t="s">
        <v>13</v>
      </c>
      <c r="C256" t="s">
        <v>140</v>
      </c>
      <c r="E256" s="55">
        <v>38565</v>
      </c>
      <c r="F256" t="s">
        <v>9</v>
      </c>
      <c r="G256" s="2">
        <v>1.1243243243243243E-2</v>
      </c>
      <c r="J256">
        <v>1</v>
      </c>
      <c r="K256" t="s">
        <v>163</v>
      </c>
      <c r="L256" t="s">
        <v>25</v>
      </c>
    </row>
    <row r="257" spans="1:12">
      <c r="A257" t="s">
        <v>246</v>
      </c>
      <c r="B257" t="s">
        <v>13</v>
      </c>
      <c r="C257" t="s">
        <v>140</v>
      </c>
      <c r="E257" s="55">
        <v>38565</v>
      </c>
      <c r="F257" t="s">
        <v>9</v>
      </c>
      <c r="G257" s="2">
        <v>1.2621621621621624E-2</v>
      </c>
      <c r="J257">
        <v>1</v>
      </c>
      <c r="K257" t="s">
        <v>163</v>
      </c>
      <c r="L257" t="s">
        <v>25</v>
      </c>
    </row>
    <row r="258" spans="1:12">
      <c r="A258" t="s">
        <v>246</v>
      </c>
      <c r="B258" t="s">
        <v>13</v>
      </c>
      <c r="C258" t="s">
        <v>140</v>
      </c>
      <c r="E258" s="55">
        <v>38565</v>
      </c>
      <c r="F258" t="s">
        <v>9</v>
      </c>
      <c r="G258" s="2">
        <v>5.5405405405405403E-3</v>
      </c>
      <c r="J258">
        <v>1</v>
      </c>
      <c r="K258" t="s">
        <v>163</v>
      </c>
      <c r="L258" t="s">
        <v>25</v>
      </c>
    </row>
    <row r="259" spans="1:12">
      <c r="A259" t="s">
        <v>246</v>
      </c>
      <c r="B259" t="s">
        <v>13</v>
      </c>
      <c r="C259" t="s">
        <v>140</v>
      </c>
      <c r="E259" s="55">
        <v>38565</v>
      </c>
      <c r="F259" t="s">
        <v>9</v>
      </c>
      <c r="G259" s="2">
        <v>6.5135135135135141E-3</v>
      </c>
      <c r="J259">
        <v>1</v>
      </c>
      <c r="K259" t="s">
        <v>163</v>
      </c>
      <c r="L259" t="s">
        <v>25</v>
      </c>
    </row>
    <row r="260" spans="1:12">
      <c r="A260" s="7" t="s">
        <v>246</v>
      </c>
      <c r="B260" s="7" t="s">
        <v>13</v>
      </c>
      <c r="C260" s="7" t="s">
        <v>140</v>
      </c>
      <c r="D260" s="7"/>
      <c r="E260" s="56">
        <v>38565</v>
      </c>
      <c r="F260" s="7" t="s">
        <v>9</v>
      </c>
      <c r="G260" s="11">
        <v>1.0621621621621622E-2</v>
      </c>
      <c r="H260" s="11"/>
      <c r="I260" s="11"/>
      <c r="J260" s="7">
        <v>1</v>
      </c>
      <c r="K260" s="7" t="s">
        <v>163</v>
      </c>
      <c r="L260" s="7" t="s">
        <v>25</v>
      </c>
    </row>
    <row r="261" spans="1:12">
      <c r="A261" t="s">
        <v>74</v>
      </c>
      <c r="B261" t="s">
        <v>13</v>
      </c>
      <c r="C261" t="s">
        <v>74</v>
      </c>
      <c r="E261" s="55">
        <v>38565</v>
      </c>
      <c r="F261" t="s">
        <v>9</v>
      </c>
      <c r="G261" s="2">
        <v>9.4864864864864871E-3</v>
      </c>
      <c r="J261">
        <v>1</v>
      </c>
      <c r="K261" t="s">
        <v>163</v>
      </c>
      <c r="L261" t="s">
        <v>25</v>
      </c>
    </row>
    <row r="262" spans="1:12">
      <c r="A262" t="s">
        <v>74</v>
      </c>
      <c r="B262" t="s">
        <v>13</v>
      </c>
      <c r="C262" t="s">
        <v>74</v>
      </c>
      <c r="E262" s="55">
        <v>38565</v>
      </c>
      <c r="F262" t="s">
        <v>9</v>
      </c>
      <c r="G262" s="2">
        <v>1.6027027027027029E-2</v>
      </c>
      <c r="J262">
        <v>1</v>
      </c>
      <c r="K262" t="s">
        <v>163</v>
      </c>
      <c r="L262" t="s">
        <v>25</v>
      </c>
    </row>
    <row r="263" spans="1:12">
      <c r="A263" t="s">
        <v>74</v>
      </c>
      <c r="B263" t="s">
        <v>13</v>
      </c>
      <c r="C263" t="s">
        <v>74</v>
      </c>
      <c r="E263" s="55">
        <v>38565</v>
      </c>
      <c r="F263" t="s">
        <v>9</v>
      </c>
      <c r="G263" s="2">
        <v>1.3972972972972973E-2</v>
      </c>
      <c r="J263">
        <v>1</v>
      </c>
      <c r="K263" t="s">
        <v>163</v>
      </c>
      <c r="L263" t="s">
        <v>25</v>
      </c>
    </row>
    <row r="264" spans="1:12">
      <c r="A264" t="s">
        <v>74</v>
      </c>
      <c r="B264" t="s">
        <v>13</v>
      </c>
      <c r="C264" t="s">
        <v>74</v>
      </c>
      <c r="E264" s="55">
        <v>38565</v>
      </c>
      <c r="F264" t="s">
        <v>9</v>
      </c>
      <c r="G264" s="2">
        <v>2.2783783783783786E-2</v>
      </c>
      <c r="J264">
        <v>1</v>
      </c>
      <c r="K264" t="s">
        <v>163</v>
      </c>
      <c r="L264" t="s">
        <v>25</v>
      </c>
    </row>
    <row r="265" spans="1:12">
      <c r="A265" t="s">
        <v>74</v>
      </c>
      <c r="B265" t="s">
        <v>13</v>
      </c>
      <c r="C265" t="s">
        <v>74</v>
      </c>
      <c r="E265" s="55">
        <v>38565</v>
      </c>
      <c r="F265" t="s">
        <v>9</v>
      </c>
      <c r="G265" s="2">
        <v>4.7567567567567571E-3</v>
      </c>
      <c r="J265">
        <v>1</v>
      </c>
      <c r="K265" t="s">
        <v>163</v>
      </c>
      <c r="L265" t="s">
        <v>25</v>
      </c>
    </row>
    <row r="266" spans="1:12">
      <c r="A266" t="s">
        <v>74</v>
      </c>
      <c r="B266" t="s">
        <v>13</v>
      </c>
      <c r="C266" t="s">
        <v>74</v>
      </c>
      <c r="E266" s="55">
        <v>38565</v>
      </c>
      <c r="F266" t="s">
        <v>9</v>
      </c>
      <c r="G266" s="2">
        <v>1.3459459459459458E-2</v>
      </c>
      <c r="J266">
        <v>1</v>
      </c>
      <c r="K266" t="s">
        <v>163</v>
      </c>
      <c r="L266" t="s">
        <v>25</v>
      </c>
    </row>
    <row r="267" spans="1:12">
      <c r="A267" t="s">
        <v>74</v>
      </c>
      <c r="B267" t="s">
        <v>13</v>
      </c>
      <c r="C267" t="s">
        <v>74</v>
      </c>
      <c r="E267" s="55">
        <v>38565</v>
      </c>
      <c r="F267" t="s">
        <v>9</v>
      </c>
      <c r="G267" s="2">
        <v>3.2432432432432436E-4</v>
      </c>
      <c r="J267">
        <v>1</v>
      </c>
      <c r="K267" t="s">
        <v>163</v>
      </c>
      <c r="L267" t="s">
        <v>25</v>
      </c>
    </row>
    <row r="268" spans="1:12">
      <c r="A268" s="7" t="s">
        <v>74</v>
      </c>
      <c r="B268" t="s">
        <v>13</v>
      </c>
      <c r="C268" t="s">
        <v>74</v>
      </c>
      <c r="E268" s="56">
        <v>38565</v>
      </c>
      <c r="F268" t="s">
        <v>9</v>
      </c>
      <c r="G268" s="2">
        <v>2.756756756756757E-3</v>
      </c>
      <c r="J268">
        <v>1</v>
      </c>
      <c r="K268" t="s">
        <v>163</v>
      </c>
      <c r="L268" t="s">
        <v>25</v>
      </c>
    </row>
    <row r="269" spans="1:12">
      <c r="A269" t="s">
        <v>220</v>
      </c>
      <c r="B269" s="3" t="s">
        <v>13</v>
      </c>
      <c r="C269" s="3" t="s">
        <v>141</v>
      </c>
      <c r="D269" s="3"/>
      <c r="E269" s="54">
        <v>33573</v>
      </c>
      <c r="F269" s="3" t="s">
        <v>9</v>
      </c>
      <c r="G269" s="4">
        <v>2.6068237945383037E-5</v>
      </c>
      <c r="H269" s="4"/>
      <c r="I269" s="4"/>
      <c r="J269" s="3">
        <v>1</v>
      </c>
      <c r="K269" s="3" t="s">
        <v>163</v>
      </c>
      <c r="L269" s="3" t="s">
        <v>26</v>
      </c>
    </row>
    <row r="270" spans="1:12">
      <c r="A270" t="s">
        <v>220</v>
      </c>
      <c r="B270" t="s">
        <v>13</v>
      </c>
      <c r="C270" t="s">
        <v>141</v>
      </c>
      <c r="E270" s="55">
        <v>33298</v>
      </c>
      <c r="F270" t="s">
        <v>9</v>
      </c>
      <c r="G270" s="2">
        <v>1.1686023713632516E-5</v>
      </c>
      <c r="J270">
        <v>1</v>
      </c>
      <c r="K270" t="s">
        <v>163</v>
      </c>
      <c r="L270" t="s">
        <v>26</v>
      </c>
    </row>
    <row r="271" spans="1:12">
      <c r="A271" t="s">
        <v>74</v>
      </c>
      <c r="B271" t="s">
        <v>13</v>
      </c>
      <c r="C271" t="s">
        <v>143</v>
      </c>
      <c r="D271" t="s">
        <v>254</v>
      </c>
      <c r="E271" s="55">
        <v>33573</v>
      </c>
      <c r="F271" t="s">
        <v>9</v>
      </c>
      <c r="G271" s="2">
        <v>4.803019857213358E-3</v>
      </c>
      <c r="J271">
        <v>1</v>
      </c>
      <c r="K271" t="s">
        <v>163</v>
      </c>
      <c r="L271" t="s">
        <v>26</v>
      </c>
    </row>
    <row r="272" spans="1:12">
      <c r="A272" t="s">
        <v>136</v>
      </c>
      <c r="B272" t="s">
        <v>13</v>
      </c>
      <c r="C272" t="s">
        <v>147</v>
      </c>
      <c r="E272" s="55">
        <v>33683</v>
      </c>
      <c r="F272" t="s">
        <v>9</v>
      </c>
      <c r="G272" s="2">
        <v>3.5313984940239416E-4</v>
      </c>
      <c r="J272">
        <v>1</v>
      </c>
      <c r="K272" t="s">
        <v>163</v>
      </c>
      <c r="L272" t="s">
        <v>26</v>
      </c>
    </row>
    <row r="273" spans="1:22">
      <c r="A273" t="s">
        <v>14</v>
      </c>
      <c r="B273" t="s">
        <v>14</v>
      </c>
      <c r="C273" t="s">
        <v>56</v>
      </c>
      <c r="E273" s="55">
        <v>33699</v>
      </c>
      <c r="F273" t="s">
        <v>9</v>
      </c>
      <c r="G273" s="2">
        <v>5.7373083310011379E-3</v>
      </c>
      <c r="J273">
        <v>1</v>
      </c>
      <c r="K273" t="s">
        <v>163</v>
      </c>
      <c r="L273" t="s">
        <v>26</v>
      </c>
    </row>
    <row r="274" spans="1:22">
      <c r="A274" t="s">
        <v>14</v>
      </c>
      <c r="B274" t="s">
        <v>14</v>
      </c>
      <c r="C274" t="s">
        <v>57</v>
      </c>
      <c r="E274" s="55">
        <v>33699</v>
      </c>
      <c r="F274" t="s">
        <v>9</v>
      </c>
      <c r="G274" s="2">
        <v>3.2606491121115284E-3</v>
      </c>
      <c r="J274">
        <v>1</v>
      </c>
      <c r="K274" t="s">
        <v>163</v>
      </c>
      <c r="L274" t="s">
        <v>26</v>
      </c>
    </row>
    <row r="275" spans="1:22">
      <c r="A275" t="s">
        <v>136</v>
      </c>
      <c r="B275" t="s">
        <v>15</v>
      </c>
      <c r="C275" t="s">
        <v>142</v>
      </c>
      <c r="D275" t="s">
        <v>254</v>
      </c>
      <c r="E275" s="55">
        <v>33569</v>
      </c>
      <c r="F275" t="s">
        <v>9</v>
      </c>
      <c r="G275" s="2">
        <v>4.2896027318256315E-4</v>
      </c>
      <c r="J275">
        <v>1</v>
      </c>
      <c r="K275" t="s">
        <v>163</v>
      </c>
      <c r="L275" t="s">
        <v>26</v>
      </c>
    </row>
    <row r="276" spans="1:22">
      <c r="A276" t="s">
        <v>136</v>
      </c>
      <c r="B276" t="s">
        <v>15</v>
      </c>
      <c r="C276" t="s">
        <v>144</v>
      </c>
      <c r="E276" s="55">
        <v>33701</v>
      </c>
      <c r="F276" t="s">
        <v>9</v>
      </c>
      <c r="G276" s="2">
        <v>1.6333269953855171E-4</v>
      </c>
      <c r="J276">
        <v>1</v>
      </c>
      <c r="K276" t="s">
        <v>163</v>
      </c>
      <c r="L276" t="s">
        <v>26</v>
      </c>
    </row>
    <row r="277" spans="1:22">
      <c r="A277" t="s">
        <v>136</v>
      </c>
      <c r="B277" t="s">
        <v>15</v>
      </c>
      <c r="C277" t="s">
        <v>145</v>
      </c>
      <c r="D277" t="s">
        <v>254</v>
      </c>
      <c r="E277" s="55">
        <v>33105</v>
      </c>
      <c r="F277" t="s">
        <v>9</v>
      </c>
      <c r="G277" s="2">
        <v>3.1755211264091268E-6</v>
      </c>
      <c r="J277">
        <v>1</v>
      </c>
      <c r="K277" t="s">
        <v>163</v>
      </c>
      <c r="L277" t="s">
        <v>26</v>
      </c>
    </row>
    <row r="278" spans="1:22">
      <c r="A278" t="s">
        <v>136</v>
      </c>
      <c r="B278" t="s">
        <v>15</v>
      </c>
      <c r="C278" t="s">
        <v>146</v>
      </c>
      <c r="D278" t="s">
        <v>254</v>
      </c>
      <c r="E278" s="55">
        <v>33104</v>
      </c>
      <c r="F278" t="s">
        <v>9</v>
      </c>
      <c r="G278" s="2">
        <v>8.6888828062263522E-6</v>
      </c>
      <c r="J278">
        <v>1</v>
      </c>
      <c r="K278" t="s">
        <v>163</v>
      </c>
      <c r="L278" t="s">
        <v>26</v>
      </c>
    </row>
    <row r="279" spans="1:22">
      <c r="A279" t="s">
        <v>136</v>
      </c>
      <c r="B279" t="s">
        <v>15</v>
      </c>
      <c r="C279" t="s">
        <v>146</v>
      </c>
      <c r="D279" t="s">
        <v>254</v>
      </c>
      <c r="E279" s="55">
        <v>33104</v>
      </c>
      <c r="F279" t="s">
        <v>9</v>
      </c>
      <c r="G279" s="2">
        <v>6.9006652642412333E-6</v>
      </c>
      <c r="J279">
        <v>1</v>
      </c>
      <c r="K279" t="s">
        <v>163</v>
      </c>
      <c r="L279" t="s">
        <v>26</v>
      </c>
      <c r="V279" s="2"/>
    </row>
    <row r="280" spans="1:22">
      <c r="A280" t="s">
        <v>136</v>
      </c>
      <c r="B280" t="s">
        <v>15</v>
      </c>
      <c r="C280" t="s">
        <v>146</v>
      </c>
      <c r="D280" t="s">
        <v>254</v>
      </c>
      <c r="E280" s="55">
        <v>33104</v>
      </c>
      <c r="F280" t="s">
        <v>9</v>
      </c>
      <c r="G280" s="2">
        <v>8.7381581340499406E-6</v>
      </c>
      <c r="J280">
        <v>1</v>
      </c>
      <c r="K280" t="s">
        <v>163</v>
      </c>
      <c r="L280" t="s">
        <v>26</v>
      </c>
      <c r="V280" s="2"/>
    </row>
    <row r="281" spans="1:22">
      <c r="A281" t="s">
        <v>246</v>
      </c>
      <c r="B281" t="s">
        <v>15</v>
      </c>
      <c r="C281" t="s">
        <v>148</v>
      </c>
      <c r="D281" t="s">
        <v>254</v>
      </c>
      <c r="E281" s="55">
        <v>33856</v>
      </c>
      <c r="F281" t="s">
        <v>9</v>
      </c>
      <c r="G281" s="2">
        <v>9.4612161702856991E-5</v>
      </c>
      <c r="J281">
        <v>1</v>
      </c>
      <c r="K281" t="s">
        <v>163</v>
      </c>
      <c r="L281" t="s">
        <v>26</v>
      </c>
      <c r="V281" s="2"/>
    </row>
    <row r="282" spans="1:22">
      <c r="A282" t="s">
        <v>246</v>
      </c>
      <c r="B282" t="s">
        <v>15</v>
      </c>
      <c r="C282" t="s">
        <v>151</v>
      </c>
      <c r="E282" s="55">
        <v>34214</v>
      </c>
      <c r="F282" t="s">
        <v>9</v>
      </c>
      <c r="G282" s="2">
        <v>3.4718442268479038E-4</v>
      </c>
      <c r="J282">
        <v>1</v>
      </c>
      <c r="K282" t="s">
        <v>163</v>
      </c>
      <c r="L282" t="s">
        <v>26</v>
      </c>
      <c r="V282" s="2"/>
    </row>
    <row r="283" spans="1:22">
      <c r="A283" t="s">
        <v>246</v>
      </c>
      <c r="B283" t="s">
        <v>15</v>
      </c>
      <c r="C283" t="s">
        <v>149</v>
      </c>
      <c r="E283" s="55">
        <v>34211</v>
      </c>
      <c r="F283" t="s">
        <v>9</v>
      </c>
      <c r="G283" s="2">
        <v>2.170940249489487E-4</v>
      </c>
      <c r="J283">
        <v>1</v>
      </c>
      <c r="K283" t="s">
        <v>163</v>
      </c>
      <c r="L283" t="s">
        <v>26</v>
      </c>
      <c r="V283" s="2"/>
    </row>
    <row r="284" spans="1:22">
      <c r="A284" s="7" t="s">
        <v>246</v>
      </c>
      <c r="B284" t="s">
        <v>15</v>
      </c>
      <c r="C284" s="7" t="s">
        <v>150</v>
      </c>
      <c r="D284" s="7" t="s">
        <v>254</v>
      </c>
      <c r="E284" s="56">
        <v>33840</v>
      </c>
      <c r="F284" s="7" t="s">
        <v>9</v>
      </c>
      <c r="G284" s="11">
        <v>6.0458531256527921E-5</v>
      </c>
      <c r="H284" s="11"/>
      <c r="I284" s="11"/>
      <c r="J284" s="7">
        <v>1</v>
      </c>
      <c r="K284" s="7" t="s">
        <v>163</v>
      </c>
      <c r="L284" s="7" t="s">
        <v>26</v>
      </c>
      <c r="V284" s="2"/>
    </row>
    <row r="285" spans="1:22">
      <c r="A285" t="s">
        <v>19</v>
      </c>
      <c r="B285" s="3" t="s">
        <v>19</v>
      </c>
      <c r="C285" t="s">
        <v>154</v>
      </c>
      <c r="D285" t="s">
        <v>254</v>
      </c>
      <c r="E285" t="s">
        <v>155</v>
      </c>
      <c r="F285" t="s">
        <v>95</v>
      </c>
      <c r="G285" s="2">
        <v>290.54000000000002</v>
      </c>
      <c r="H285" s="2">
        <v>828</v>
      </c>
      <c r="I285" s="2">
        <v>36.9</v>
      </c>
      <c r="J285">
        <v>76</v>
      </c>
      <c r="K285" t="s">
        <v>163</v>
      </c>
      <c r="L285" t="s">
        <v>183</v>
      </c>
      <c r="V285" s="2"/>
    </row>
    <row r="286" spans="1:22">
      <c r="A286" t="s">
        <v>19</v>
      </c>
      <c r="B286" t="s">
        <v>19</v>
      </c>
      <c r="C286" t="s">
        <v>157</v>
      </c>
      <c r="D286" t="s">
        <v>254</v>
      </c>
      <c r="E286" t="s">
        <v>155</v>
      </c>
      <c r="F286" t="s">
        <v>95</v>
      </c>
      <c r="G286" s="2">
        <v>179.45</v>
      </c>
      <c r="H286" s="2">
        <v>498</v>
      </c>
      <c r="I286" s="2">
        <v>52</v>
      </c>
      <c r="J286">
        <v>19</v>
      </c>
      <c r="K286" t="s">
        <v>163</v>
      </c>
      <c r="L286" t="s">
        <v>183</v>
      </c>
      <c r="V286" s="2"/>
    </row>
    <row r="287" spans="1:22">
      <c r="A287" t="s">
        <v>19</v>
      </c>
      <c r="B287" t="s">
        <v>19</v>
      </c>
      <c r="C287" t="s">
        <v>158</v>
      </c>
      <c r="D287" t="s">
        <v>254</v>
      </c>
      <c r="E287" t="s">
        <v>155</v>
      </c>
      <c r="F287" t="s">
        <v>95</v>
      </c>
      <c r="G287" s="2">
        <v>91.75</v>
      </c>
      <c r="H287" s="2">
        <v>200</v>
      </c>
      <c r="I287" s="2">
        <v>17</v>
      </c>
      <c r="J287">
        <v>22</v>
      </c>
      <c r="K287" t="s">
        <v>163</v>
      </c>
      <c r="L287" t="s">
        <v>183</v>
      </c>
      <c r="V287" s="2"/>
    </row>
    <row r="288" spans="1:22">
      <c r="A288" t="s">
        <v>19</v>
      </c>
      <c r="B288" t="s">
        <v>19</v>
      </c>
      <c r="C288" t="s">
        <v>160</v>
      </c>
      <c r="D288" t="s">
        <v>254</v>
      </c>
      <c r="E288" t="s">
        <v>161</v>
      </c>
      <c r="F288" t="s">
        <v>95</v>
      </c>
      <c r="G288" s="2">
        <v>0.74</v>
      </c>
      <c r="H288" s="2">
        <v>2.06</v>
      </c>
      <c r="I288" s="2">
        <v>0.09</v>
      </c>
      <c r="J288">
        <v>10</v>
      </c>
      <c r="K288" t="s">
        <v>163</v>
      </c>
      <c r="L288" t="s">
        <v>183</v>
      </c>
      <c r="V288" s="2"/>
    </row>
    <row r="289" spans="1:22">
      <c r="A289" t="s">
        <v>19</v>
      </c>
      <c r="B289" s="7" t="s">
        <v>19</v>
      </c>
      <c r="C289" t="s">
        <v>162</v>
      </c>
      <c r="D289" t="s">
        <v>254</v>
      </c>
      <c r="E289" t="s">
        <v>155</v>
      </c>
      <c r="F289" t="s">
        <v>95</v>
      </c>
      <c r="G289" s="2">
        <v>47.02</v>
      </c>
      <c r="H289" s="2">
        <v>99.5</v>
      </c>
      <c r="I289" s="2">
        <v>16.2</v>
      </c>
      <c r="J289">
        <v>14</v>
      </c>
      <c r="K289" t="s">
        <v>163</v>
      </c>
      <c r="L289" t="s">
        <v>183</v>
      </c>
      <c r="V289" s="2"/>
    </row>
    <row r="290" spans="1:22">
      <c r="A290" s="3" t="s">
        <v>19</v>
      </c>
      <c r="B290" t="s">
        <v>19</v>
      </c>
      <c r="C290" s="3" t="s">
        <v>164</v>
      </c>
      <c r="D290" s="3" t="s">
        <v>254</v>
      </c>
      <c r="E290" s="3" t="s">
        <v>165</v>
      </c>
      <c r="F290" s="3" t="s">
        <v>95</v>
      </c>
      <c r="G290" s="4">
        <v>0.41299999999999998</v>
      </c>
      <c r="H290" s="4">
        <v>3.21</v>
      </c>
      <c r="I290" s="4">
        <v>3.2000000000000002E-3</v>
      </c>
      <c r="J290" s="3">
        <v>309</v>
      </c>
      <c r="K290" s="3" t="s">
        <v>163</v>
      </c>
      <c r="L290" s="3" t="s">
        <v>182</v>
      </c>
      <c r="V290" s="2"/>
    </row>
    <row r="291" spans="1:22">
      <c r="A291" t="s">
        <v>19</v>
      </c>
      <c r="B291" t="s">
        <v>19</v>
      </c>
      <c r="C291" t="s">
        <v>166</v>
      </c>
      <c r="D291" t="s">
        <v>254</v>
      </c>
      <c r="E291" t="s">
        <v>167</v>
      </c>
      <c r="F291" t="s">
        <v>95</v>
      </c>
      <c r="G291" s="2">
        <v>0.64300000000000002</v>
      </c>
      <c r="H291" s="2">
        <v>2.99</v>
      </c>
      <c r="I291" s="2">
        <v>1.4999999999999999E-2</v>
      </c>
      <c r="J291">
        <v>84</v>
      </c>
      <c r="K291" t="s">
        <v>163</v>
      </c>
      <c r="L291" t="s">
        <v>182</v>
      </c>
    </row>
    <row r="292" spans="1:22">
      <c r="A292" t="s">
        <v>19</v>
      </c>
      <c r="B292" t="s">
        <v>19</v>
      </c>
      <c r="C292" t="s">
        <v>168</v>
      </c>
      <c r="D292" t="s">
        <v>254</v>
      </c>
      <c r="E292" t="s">
        <v>165</v>
      </c>
      <c r="F292" t="s">
        <v>95</v>
      </c>
      <c r="G292" s="2">
        <v>0.85599999999999998</v>
      </c>
      <c r="H292" s="2">
        <v>31.000000000000004</v>
      </c>
      <c r="I292" s="2">
        <v>9.7000000000000003E-3</v>
      </c>
      <c r="J292">
        <v>332</v>
      </c>
      <c r="K292" t="s">
        <v>163</v>
      </c>
      <c r="L292" t="s">
        <v>182</v>
      </c>
    </row>
    <row r="293" spans="1:22">
      <c r="A293" t="s">
        <v>19</v>
      </c>
      <c r="B293" t="s">
        <v>19</v>
      </c>
      <c r="C293" t="s">
        <v>152</v>
      </c>
      <c r="D293" t="s">
        <v>254</v>
      </c>
      <c r="E293" t="s">
        <v>181</v>
      </c>
      <c r="F293" t="s">
        <v>95</v>
      </c>
      <c r="G293" s="2">
        <v>0.67900000000000005</v>
      </c>
      <c r="H293" s="2">
        <v>2.91</v>
      </c>
      <c r="I293" s="2">
        <v>2.8400000000000002E-2</v>
      </c>
      <c r="J293">
        <v>82</v>
      </c>
      <c r="K293" t="s">
        <v>163</v>
      </c>
      <c r="L293" t="s">
        <v>182</v>
      </c>
    </row>
    <row r="294" spans="1:22">
      <c r="A294" t="s">
        <v>19</v>
      </c>
      <c r="B294" t="s">
        <v>19</v>
      </c>
      <c r="C294" t="s">
        <v>169</v>
      </c>
      <c r="D294" t="s">
        <v>254</v>
      </c>
      <c r="E294" t="s">
        <v>180</v>
      </c>
      <c r="F294" t="s">
        <v>95</v>
      </c>
      <c r="G294" s="2">
        <v>1.403</v>
      </c>
      <c r="H294" s="2">
        <v>9</v>
      </c>
      <c r="I294" s="2">
        <v>0</v>
      </c>
      <c r="J294">
        <v>83</v>
      </c>
      <c r="K294" t="s">
        <v>163</v>
      </c>
      <c r="L294" t="s">
        <v>182</v>
      </c>
    </row>
    <row r="295" spans="1:22">
      <c r="A295" t="s">
        <v>19</v>
      </c>
      <c r="B295" t="s">
        <v>19</v>
      </c>
      <c r="C295" t="s">
        <v>170</v>
      </c>
      <c r="D295" t="s">
        <v>254</v>
      </c>
      <c r="E295" t="s">
        <v>177</v>
      </c>
      <c r="F295" t="s">
        <v>95</v>
      </c>
      <c r="G295" s="2">
        <v>0.497</v>
      </c>
      <c r="H295" s="2">
        <v>3.06</v>
      </c>
      <c r="I295" s="2">
        <v>5.0000000000000001E-3</v>
      </c>
      <c r="J295">
        <v>85</v>
      </c>
      <c r="K295" t="s">
        <v>163</v>
      </c>
      <c r="L295" t="s">
        <v>182</v>
      </c>
    </row>
    <row r="296" spans="1:22">
      <c r="A296" t="s">
        <v>19</v>
      </c>
      <c r="B296" t="s">
        <v>19</v>
      </c>
      <c r="C296" t="s">
        <v>171</v>
      </c>
      <c r="D296" t="s">
        <v>254</v>
      </c>
      <c r="E296" t="s">
        <v>179</v>
      </c>
      <c r="F296" t="s">
        <v>95</v>
      </c>
      <c r="G296" s="2">
        <v>3.085</v>
      </c>
      <c r="H296" s="2">
        <v>19.100000000000001</v>
      </c>
      <c r="I296" s="2">
        <v>0.12100000000000001</v>
      </c>
      <c r="J296">
        <v>310</v>
      </c>
      <c r="K296" t="s">
        <v>163</v>
      </c>
      <c r="L296" t="s">
        <v>182</v>
      </c>
    </row>
    <row r="297" spans="1:22">
      <c r="A297" t="s">
        <v>19</v>
      </c>
      <c r="B297" t="s">
        <v>19</v>
      </c>
      <c r="C297" t="s">
        <v>156</v>
      </c>
      <c r="D297" t="s">
        <v>254</v>
      </c>
      <c r="E297" t="s">
        <v>178</v>
      </c>
      <c r="F297" t="s">
        <v>95</v>
      </c>
      <c r="G297" s="2">
        <v>1.4139999999999999</v>
      </c>
      <c r="H297" s="2">
        <v>7.13</v>
      </c>
      <c r="I297" s="2">
        <v>6.13E-2</v>
      </c>
      <c r="J297">
        <v>82</v>
      </c>
      <c r="K297" t="s">
        <v>163</v>
      </c>
      <c r="L297" t="s">
        <v>182</v>
      </c>
    </row>
    <row r="298" spans="1:22">
      <c r="A298" t="s">
        <v>19</v>
      </c>
      <c r="B298" t="s">
        <v>19</v>
      </c>
      <c r="C298" t="s">
        <v>153</v>
      </c>
      <c r="D298" t="s">
        <v>254</v>
      </c>
      <c r="E298" t="s">
        <v>177</v>
      </c>
      <c r="F298" t="s">
        <v>95</v>
      </c>
      <c r="G298" s="2">
        <v>4.0179999999999998</v>
      </c>
      <c r="H298" s="2">
        <v>14.5</v>
      </c>
      <c r="I298" s="2">
        <v>0.372</v>
      </c>
      <c r="J298">
        <v>85</v>
      </c>
      <c r="K298" t="s">
        <v>163</v>
      </c>
      <c r="L298" t="s">
        <v>182</v>
      </c>
    </row>
    <row r="299" spans="1:22">
      <c r="A299" t="s">
        <v>19</v>
      </c>
      <c r="B299" t="s">
        <v>19</v>
      </c>
      <c r="C299" t="s">
        <v>159</v>
      </c>
      <c r="D299" t="s">
        <v>254</v>
      </c>
      <c r="E299" t="s">
        <v>176</v>
      </c>
      <c r="F299" t="s">
        <v>95</v>
      </c>
      <c r="G299" s="2">
        <v>23.658000000000001</v>
      </c>
      <c r="H299" s="2">
        <v>549.9</v>
      </c>
      <c r="I299" s="2">
        <v>0</v>
      </c>
      <c r="J299">
        <v>28</v>
      </c>
      <c r="K299" t="s">
        <v>163</v>
      </c>
      <c r="L299" t="s">
        <v>182</v>
      </c>
    </row>
    <row r="300" spans="1:22">
      <c r="A300" t="s">
        <v>19</v>
      </c>
      <c r="B300" t="s">
        <v>19</v>
      </c>
      <c r="C300" t="s">
        <v>172</v>
      </c>
      <c r="D300" t="s">
        <v>254</v>
      </c>
      <c r="E300" t="s">
        <v>175</v>
      </c>
      <c r="F300" t="s">
        <v>95</v>
      </c>
      <c r="G300" s="2">
        <v>0.49900000000000005</v>
      </c>
      <c r="H300" s="2">
        <v>2.94</v>
      </c>
      <c r="I300" s="2">
        <v>7.2499999999999995E-4</v>
      </c>
      <c r="J300">
        <v>80</v>
      </c>
      <c r="K300" t="s">
        <v>163</v>
      </c>
      <c r="L300" t="s">
        <v>182</v>
      </c>
    </row>
    <row r="301" spans="1:22">
      <c r="A301" t="s">
        <v>19</v>
      </c>
      <c r="B301" t="s">
        <v>19</v>
      </c>
      <c r="C301" t="s">
        <v>173</v>
      </c>
      <c r="D301" t="s">
        <v>254</v>
      </c>
      <c r="E301" t="s">
        <v>174</v>
      </c>
      <c r="F301" t="s">
        <v>95</v>
      </c>
      <c r="G301" s="2">
        <v>0.54300000000000004</v>
      </c>
      <c r="H301" s="2">
        <v>2.4900000000000002</v>
      </c>
      <c r="I301" s="2">
        <v>6.8500000000000002E-3</v>
      </c>
      <c r="J301">
        <v>81</v>
      </c>
      <c r="K301" t="s">
        <v>163</v>
      </c>
      <c r="L301" t="s">
        <v>182</v>
      </c>
      <c r="P301" s="2"/>
    </row>
    <row r="307" spans="11:11">
      <c r="K307" s="8"/>
    </row>
    <row r="308" spans="11:11">
      <c r="K308" s="8"/>
    </row>
    <row r="322" spans="1:4">
      <c r="A322" s="8"/>
    </row>
    <row r="323" spans="1:4">
      <c r="A323" s="12"/>
    </row>
    <row r="324" spans="1:4">
      <c r="C324" s="8"/>
      <c r="D324" s="8"/>
    </row>
    <row r="325" spans="1:4">
      <c r="C325" s="8"/>
      <c r="D325" s="8"/>
    </row>
    <row r="326" spans="1:4">
      <c r="C326" s="8"/>
      <c r="D326" s="8"/>
    </row>
    <row r="327" spans="1:4">
      <c r="C327" s="8"/>
      <c r="D327" s="8"/>
    </row>
    <row r="328" spans="1:4">
      <c r="C328" s="8"/>
      <c r="D328" s="8"/>
    </row>
    <row r="329" spans="1:4">
      <c r="C329" s="8"/>
      <c r="D329" s="8"/>
    </row>
    <row r="330" spans="1:4">
      <c r="C330" s="8"/>
      <c r="D330" s="8"/>
    </row>
    <row r="331" spans="1:4">
      <c r="C331" s="8"/>
      <c r="D331" s="8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effluents</vt:lpstr>
      <vt:lpstr>database_pCi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Whiteaker</dc:creator>
  <cp:lastModifiedBy>Haruko M Wainwright</cp:lastModifiedBy>
  <dcterms:created xsi:type="dcterms:W3CDTF">2015-06-05T18:17:20Z</dcterms:created>
  <dcterms:modified xsi:type="dcterms:W3CDTF">2025-07-26T15:54:58Z</dcterms:modified>
</cp:coreProperties>
</file>